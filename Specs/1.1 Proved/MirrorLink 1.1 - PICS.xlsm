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tables/table2.xml" ContentType="application/vnd.openxmlformats-officedocument.spreadsheetml.table+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fileVersion appName="xl" lastEdited="5" lowestEdited="5" rupBuild="24709" codeName="{8C4F1C90-05EB-6A55-5F09-09C24B55AC0B}"/>
  <workbookPr codeName="ThisWorkbook" autoCompressPictures="0"/>
  <bookViews>
    <workbookView xWindow="0" yWindow="0" windowWidth="25600" windowHeight="16060" tabRatio="759"/>
  </bookViews>
  <sheets>
    <sheet name="Ref Docs &amp; Notes" sheetId="8" r:id="rId1"/>
    <sheet name="Instructions" sheetId="5" r:id="rId2"/>
    <sheet name="Identification" sheetId="4" r:id="rId3"/>
    <sheet name="Client PICS" sheetId="7" r:id="rId4"/>
    <sheet name="Client Tests" sheetId="12" r:id="rId5"/>
    <sheet name="Client PIXIT" sheetId="10" r:id="rId6"/>
    <sheet name="Server PICS" sheetId="3" r:id="rId7"/>
    <sheet name="Server Tests" sheetId="6" r:id="rId8"/>
    <sheet name="Server PIXIT" sheetId="9" r:id="rId9"/>
  </sheets>
  <externalReferences>
    <externalReference r:id="rId10"/>
    <externalReference r:id="rId11"/>
  </externalReferences>
  <definedNames>
    <definedName name="_xlnm._FilterDatabase" localSheetId="3" hidden="1">'Client PICS'!$A$1:$N$265</definedName>
    <definedName name="_xlnm._FilterDatabase" localSheetId="5" hidden="1">'Client PIXIT'!$A$1:$E$80</definedName>
    <definedName name="_xlnm._FilterDatabase" localSheetId="4" hidden="1">'Client Tests'!$A$1:$N$265</definedName>
    <definedName name="_xlnm._FilterDatabase" localSheetId="6" hidden="1">'Server PICS'!$A$1:$M$278</definedName>
    <definedName name="_xlnm._FilterDatabase" localSheetId="8" hidden="1">'Server PIXIT'!$A$1:$E$67</definedName>
    <definedName name="_xlnm._FilterDatabase" localSheetId="7" hidden="1">'Server Tests'!$A$1:$N$357</definedName>
    <definedName name="_Toc347849011" localSheetId="7">'Server Tests'!$A$144</definedName>
    <definedName name="_Toc347849012" localSheetId="7">'Server Tests'!$A$145</definedName>
    <definedName name="_Toc347849013" localSheetId="7">'Server Tests'!$A$146</definedName>
    <definedName name="_Toc347849014" localSheetId="7">'Server Tests'!$A$147</definedName>
    <definedName name="_Toc377990084" localSheetId="7">'Server Tests'!$A$268</definedName>
    <definedName name="clientMandate">'[1]Client Protocol Conf'!$I$5:$I$1048576</definedName>
    <definedName name="clientState">'[1]Client Protocol Conf'!$G$5:$G$1048576</definedName>
    <definedName name="CTS_Version">'Ref Docs &amp; Notes'!$D$6</definedName>
    <definedName name="DeviceRole">Identification!$B$39</definedName>
    <definedName name="Effective_Date">'Ref Docs &amp; Notes'!$D$4</definedName>
    <definedName name="EffectiveDate">'[1]Ref Docs &amp; Notes'!$D$4</definedName>
    <definedName name="F">'Ref Docs &amp; Notes'!$B$10</definedName>
    <definedName name="PICS_Revision">'Ref Docs &amp; Notes'!$D$5</definedName>
    <definedName name="PICS_Version">'Ref Docs &amp; Notes'!$D$5</definedName>
    <definedName name="RefDocKey">'[1]Ref Docs &amp; Notes'!$B$11:$B$20</definedName>
    <definedName name="serverMandate">'[1]Server Protocol Conf'!$I$5:$I$1048576</definedName>
    <definedName name="serverState">'[1]Server Protocol Conf'!$G$5:$G$1048576</definedName>
    <definedName name="TRSL_Revision" localSheetId="5">'[2]Ref Docs &amp; Notes'!#REF!</definedName>
    <definedName name="TRSL_Revision" localSheetId="8">'[2]Ref Docs &amp; Notes'!#REF!</definedName>
    <definedName name="TRSL_Revision">'Ref Docs &amp; Notes'!$D$5</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C224" i="6" l="1"/>
  <c r="N222" i="3"/>
  <c r="C192" i="12"/>
  <c r="N250" i="7"/>
  <c r="C120" i="12"/>
  <c r="C119" i="12"/>
  <c r="C159" i="6"/>
  <c r="C158" i="6"/>
  <c r="C157" i="6"/>
  <c r="C156" i="6"/>
  <c r="N19" i="3"/>
  <c r="C308" i="6"/>
  <c r="C228" i="12"/>
  <c r="C306" i="6"/>
  <c r="C323" i="6"/>
  <c r="C90" i="12"/>
  <c r="C89" i="12"/>
  <c r="C88" i="12"/>
  <c r="C87" i="12"/>
  <c r="C86" i="12"/>
  <c r="C85" i="12"/>
  <c r="C82" i="12"/>
  <c r="C83" i="12"/>
  <c r="C81" i="12"/>
  <c r="C80" i="12"/>
  <c r="C29" i="12"/>
  <c r="C142" i="6"/>
  <c r="C307" i="6"/>
  <c r="C309" i="6"/>
  <c r="C311" i="6"/>
  <c r="C310" i="6"/>
  <c r="C299" i="6"/>
  <c r="C300" i="6"/>
  <c r="C301" i="6"/>
  <c r="C315" i="6"/>
  <c r="C314" i="6"/>
  <c r="C312" i="6"/>
  <c r="C313" i="6"/>
  <c r="C305" i="6"/>
  <c r="C298" i="6"/>
  <c r="C295" i="6"/>
  <c r="C297" i="6"/>
  <c r="C296" i="6"/>
  <c r="C302" i="6"/>
  <c r="C303" i="6"/>
  <c r="C304" i="6"/>
  <c r="C294" i="6"/>
  <c r="C293" i="6"/>
  <c r="C129" i="12"/>
  <c r="C128" i="12"/>
  <c r="N154" i="7"/>
  <c r="N153" i="7"/>
  <c r="C268" i="6"/>
  <c r="C240" i="12"/>
  <c r="C239" i="12"/>
  <c r="C238" i="12"/>
  <c r="C237" i="12"/>
  <c r="C236" i="12"/>
  <c r="C235" i="12"/>
  <c r="C234" i="12"/>
  <c r="C98" i="12"/>
  <c r="N111" i="7"/>
  <c r="C39" i="12"/>
  <c r="C38" i="12"/>
  <c r="C37" i="12"/>
  <c r="C225" i="12"/>
  <c r="C224" i="12"/>
  <c r="N141" i="7"/>
  <c r="N122" i="3"/>
  <c r="N121" i="3"/>
  <c r="N94" i="3"/>
  <c r="N155" i="7"/>
  <c r="N152" i="7"/>
  <c r="C169" i="6"/>
  <c r="C168" i="6"/>
  <c r="C167" i="6"/>
  <c r="C170" i="6"/>
  <c r="C130" i="12"/>
  <c r="C214" i="12"/>
  <c r="C186" i="6"/>
  <c r="C128" i="6"/>
  <c r="C125" i="6"/>
  <c r="C124" i="6"/>
  <c r="N61" i="7"/>
  <c r="N87" i="7"/>
  <c r="C233" i="12"/>
  <c r="C221" i="12"/>
  <c r="C84" i="12"/>
  <c r="C79" i="12"/>
  <c r="C16" i="6"/>
  <c r="C11" i="6"/>
  <c r="C146" i="12"/>
  <c r="C145" i="12"/>
  <c r="C144" i="12"/>
  <c r="N204" i="7"/>
  <c r="C205" i="12"/>
  <c r="C204" i="12"/>
  <c r="C213" i="12"/>
  <c r="C140" i="12"/>
  <c r="C150" i="12"/>
  <c r="C149" i="12"/>
  <c r="C148" i="12"/>
  <c r="C143" i="12"/>
  <c r="C130" i="6"/>
  <c r="N88" i="7"/>
  <c r="N83" i="7"/>
  <c r="N84" i="7"/>
  <c r="N66" i="3"/>
  <c r="C212" i="12"/>
  <c r="C211" i="12"/>
  <c r="C210" i="12"/>
  <c r="C319" i="6"/>
  <c r="C318" i="6"/>
  <c r="C317" i="6"/>
  <c r="C316" i="6"/>
  <c r="N67" i="3"/>
  <c r="C31" i="12"/>
  <c r="C40" i="6"/>
  <c r="N80" i="7"/>
  <c r="O265" i="3"/>
  <c r="N264" i="3"/>
  <c r="N263" i="3"/>
  <c r="O256" i="3"/>
  <c r="N255" i="3"/>
  <c r="N253" i="3"/>
  <c r="N236" i="7"/>
  <c r="N206" i="7"/>
  <c r="N208" i="3"/>
  <c r="N178" i="3"/>
  <c r="N151" i="7"/>
  <c r="N102" i="7"/>
  <c r="N95" i="7"/>
  <c r="N94" i="7"/>
  <c r="N247" i="3"/>
  <c r="N248" i="3"/>
  <c r="N239" i="3"/>
  <c r="N6" i="3"/>
  <c r="C349" i="6"/>
  <c r="C345" i="6"/>
  <c r="C333" i="6"/>
  <c r="C329" i="6"/>
  <c r="C141" i="12"/>
  <c r="N71" i="3"/>
  <c r="N254" i="7"/>
  <c r="C227" i="12"/>
  <c r="C262" i="6"/>
  <c r="C261" i="6"/>
  <c r="C131" i="12"/>
  <c r="C46" i="12"/>
  <c r="C48" i="12"/>
  <c r="C357" i="6"/>
  <c r="C356" i="6"/>
  <c r="C355" i="6"/>
  <c r="C354" i="6"/>
  <c r="C353" i="6"/>
  <c r="C352" i="6"/>
  <c r="C351" i="6"/>
  <c r="C350" i="6"/>
  <c r="C348" i="6"/>
  <c r="C347" i="6"/>
  <c r="C346" i="6"/>
  <c r="C344" i="6"/>
  <c r="C343" i="6"/>
  <c r="C342" i="6"/>
  <c r="C341" i="6"/>
  <c r="C340" i="6"/>
  <c r="C339" i="6"/>
  <c r="C338" i="6"/>
  <c r="C337" i="6"/>
  <c r="C336" i="6"/>
  <c r="C335" i="6"/>
  <c r="C334" i="6"/>
  <c r="C332" i="6"/>
  <c r="C331" i="6"/>
  <c r="C330" i="6"/>
  <c r="C328" i="6"/>
  <c r="C327" i="6"/>
  <c r="C326" i="6"/>
  <c r="C325" i="6"/>
  <c r="C324" i="6"/>
  <c r="C322" i="6"/>
  <c r="C321" i="6"/>
  <c r="C320" i="6"/>
  <c r="N278" i="3"/>
  <c r="N277" i="3"/>
  <c r="N275" i="3"/>
  <c r="N274" i="3"/>
  <c r="N273" i="3"/>
  <c r="N272" i="3"/>
  <c r="N270" i="3"/>
  <c r="N267" i="3"/>
  <c r="N266" i="3"/>
  <c r="N265" i="3"/>
  <c r="N262" i="3"/>
  <c r="N261" i="3"/>
  <c r="N259" i="3"/>
  <c r="N252" i="3"/>
  <c r="N256" i="3"/>
  <c r="N251" i="3"/>
  <c r="N245" i="3"/>
  <c r="N244" i="3"/>
  <c r="N243" i="3"/>
  <c r="N242" i="3"/>
  <c r="N241" i="3"/>
  <c r="N240" i="3"/>
  <c r="N238" i="3"/>
  <c r="C288" i="6"/>
  <c r="C287" i="6"/>
  <c r="C286" i="6"/>
  <c r="C261" i="12"/>
  <c r="C260" i="12"/>
  <c r="C259" i="12"/>
  <c r="C153" i="12"/>
  <c r="C152" i="12"/>
  <c r="C151" i="12"/>
  <c r="N128" i="3"/>
  <c r="N127" i="3"/>
  <c r="C92" i="6"/>
  <c r="C91" i="6"/>
  <c r="C90" i="6"/>
  <c r="C89" i="6"/>
  <c r="C86" i="6"/>
  <c r="C85" i="6"/>
  <c r="C84" i="6"/>
  <c r="C83" i="6"/>
  <c r="C80" i="6"/>
  <c r="C79" i="6"/>
  <c r="C78" i="6"/>
  <c r="C77" i="6"/>
  <c r="C74" i="6"/>
  <c r="C73" i="6"/>
  <c r="C72" i="6"/>
  <c r="C71" i="6"/>
  <c r="C68" i="6"/>
  <c r="C67" i="6"/>
  <c r="C66" i="6"/>
  <c r="C65" i="6"/>
  <c r="C62" i="6"/>
  <c r="C61" i="6"/>
  <c r="C60" i="6"/>
  <c r="C59" i="6"/>
  <c r="C56" i="6"/>
  <c r="C55" i="6"/>
  <c r="C54" i="6"/>
  <c r="C53" i="6"/>
  <c r="C47" i="6"/>
  <c r="C50" i="6"/>
  <c r="C49" i="6"/>
  <c r="C48" i="6"/>
  <c r="C51" i="6"/>
  <c r="C52" i="6"/>
  <c r="C50" i="12"/>
  <c r="C51" i="12"/>
  <c r="C52" i="12"/>
  <c r="C53" i="12"/>
  <c r="C49" i="12"/>
  <c r="C47" i="12"/>
  <c r="C45" i="12"/>
  <c r="C118" i="12"/>
  <c r="C117" i="12"/>
  <c r="C116" i="12"/>
  <c r="C73" i="12"/>
  <c r="C74" i="12"/>
  <c r="C147" i="6"/>
  <c r="C146" i="6"/>
  <c r="C145" i="6"/>
  <c r="C144" i="6"/>
  <c r="C148" i="6"/>
  <c r="C39" i="6"/>
  <c r="C115" i="6"/>
  <c r="N79" i="3"/>
  <c r="N83" i="3"/>
  <c r="C231" i="6"/>
  <c r="C230" i="6"/>
  <c r="C229" i="6"/>
  <c r="C228" i="6"/>
  <c r="C227" i="6"/>
  <c r="C226" i="6"/>
  <c r="C223" i="6"/>
  <c r="C225" i="6"/>
  <c r="C222" i="6"/>
  <c r="C221" i="6"/>
  <c r="C220" i="6"/>
  <c r="C210" i="6"/>
  <c r="C219" i="6"/>
  <c r="C218" i="6"/>
  <c r="C217" i="6"/>
  <c r="C216" i="6"/>
  <c r="C215" i="6"/>
  <c r="C214" i="6"/>
  <c r="C213" i="6"/>
  <c r="C212" i="6"/>
  <c r="C211" i="6"/>
  <c r="C209" i="6"/>
  <c r="C208" i="6"/>
  <c r="C207" i="6"/>
  <c r="C206" i="6"/>
  <c r="C205" i="6"/>
  <c r="C204" i="6"/>
  <c r="C203" i="6"/>
  <c r="C202" i="6"/>
  <c r="C201" i="6"/>
  <c r="C200" i="6"/>
  <c r="C199" i="6"/>
  <c r="C198" i="6"/>
  <c r="C197" i="6"/>
  <c r="C196" i="6"/>
  <c r="C195" i="6"/>
  <c r="C194" i="6"/>
  <c r="C193" i="6"/>
  <c r="C192" i="6"/>
  <c r="C191" i="6"/>
  <c r="C190" i="6"/>
  <c r="C187" i="12"/>
  <c r="C186" i="12"/>
  <c r="C185" i="12"/>
  <c r="C184" i="12"/>
  <c r="C183" i="12"/>
  <c r="C182" i="12"/>
  <c r="C181" i="12"/>
  <c r="C180" i="12"/>
  <c r="C179" i="12"/>
  <c r="C178" i="12"/>
  <c r="C188" i="12"/>
  <c r="C189" i="12"/>
  <c r="C190" i="12"/>
  <c r="C193" i="12"/>
  <c r="C191" i="12"/>
  <c r="C194" i="12"/>
  <c r="C195" i="12"/>
  <c r="C196" i="12"/>
  <c r="C197" i="12"/>
  <c r="C198" i="12"/>
  <c r="C199" i="12"/>
  <c r="N234" i="3"/>
  <c r="N230" i="3"/>
  <c r="N218" i="3"/>
  <c r="N203" i="3"/>
  <c r="N199" i="3"/>
  <c r="N188" i="3"/>
  <c r="N216" i="7"/>
  <c r="N227" i="7"/>
  <c r="N231" i="7"/>
  <c r="N262" i="7"/>
  <c r="N258" i="7"/>
  <c r="N246" i="7"/>
  <c r="C159" i="12"/>
  <c r="C166" i="12"/>
  <c r="C165" i="12"/>
  <c r="C164" i="12"/>
  <c r="C163" i="12"/>
  <c r="C162" i="12"/>
  <c r="C161" i="12"/>
  <c r="C160" i="12"/>
  <c r="C158" i="12"/>
  <c r="C170" i="12"/>
  <c r="C171" i="12"/>
  <c r="C173" i="12"/>
  <c r="C177" i="12"/>
  <c r="C176" i="12"/>
  <c r="C175" i="12"/>
  <c r="C174" i="12"/>
  <c r="C172" i="12"/>
  <c r="C169" i="12"/>
  <c r="C168" i="12"/>
  <c r="C167" i="12"/>
  <c r="C111" i="12"/>
  <c r="C6" i="6"/>
  <c r="N202" i="3"/>
  <c r="N201" i="3"/>
  <c r="N200" i="3"/>
  <c r="N206" i="3"/>
  <c r="N205" i="3"/>
  <c r="N204" i="3"/>
  <c r="N237" i="3"/>
  <c r="N236" i="3"/>
  <c r="N231" i="3"/>
  <c r="N235" i="3"/>
  <c r="N232" i="3"/>
  <c r="N233" i="3"/>
  <c r="N230" i="7"/>
  <c r="N229" i="7"/>
  <c r="N228" i="7"/>
  <c r="N234" i="7"/>
  <c r="N233" i="7"/>
  <c r="N232" i="7"/>
  <c r="N265" i="7"/>
  <c r="N264" i="7"/>
  <c r="N263" i="7"/>
  <c r="N261" i="7"/>
  <c r="N260" i="7"/>
  <c r="N259" i="7"/>
  <c r="C44" i="6"/>
  <c r="C43" i="6"/>
  <c r="C25" i="6"/>
  <c r="N220" i="3"/>
  <c r="N221" i="3"/>
  <c r="N223" i="3"/>
  <c r="N224" i="3"/>
  <c r="N225" i="3"/>
  <c r="N226" i="3"/>
  <c r="N227" i="3"/>
  <c r="N228" i="3"/>
  <c r="N219" i="3"/>
  <c r="N190" i="3"/>
  <c r="N191" i="3"/>
  <c r="N192" i="3"/>
  <c r="N193" i="3"/>
  <c r="N194" i="3"/>
  <c r="N195" i="3"/>
  <c r="N196" i="3"/>
  <c r="N197" i="3"/>
  <c r="N189" i="3"/>
  <c r="N218" i="7"/>
  <c r="N219" i="7"/>
  <c r="N220" i="7"/>
  <c r="N221" i="7"/>
  <c r="N222" i="7"/>
  <c r="N223" i="7"/>
  <c r="N224" i="7"/>
  <c r="N225" i="7"/>
  <c r="N217" i="7"/>
  <c r="N248" i="7"/>
  <c r="N249" i="7"/>
  <c r="N251" i="7"/>
  <c r="N252" i="7"/>
  <c r="N253" i="7"/>
  <c r="N255" i="7"/>
  <c r="N256" i="7"/>
  <c r="N247" i="7"/>
  <c r="N64" i="3"/>
  <c r="N81" i="7"/>
  <c r="N245" i="7"/>
  <c r="N244" i="7"/>
  <c r="N243" i="7"/>
  <c r="N242" i="7"/>
  <c r="N241" i="7"/>
  <c r="N240" i="7"/>
  <c r="N239" i="7"/>
  <c r="N238" i="7"/>
  <c r="N237" i="7"/>
  <c r="N215" i="7"/>
  <c r="N214" i="7"/>
  <c r="N213" i="7"/>
  <c r="N212" i="7"/>
  <c r="N211" i="7"/>
  <c r="N210" i="7"/>
  <c r="N209" i="7"/>
  <c r="N208" i="7"/>
  <c r="N207" i="7"/>
  <c r="N203" i="7"/>
  <c r="N197" i="7"/>
  <c r="N189" i="7"/>
  <c r="N185" i="7"/>
  <c r="N184" i="7"/>
  <c r="N183" i="7"/>
  <c r="N182" i="7"/>
  <c r="N181" i="7"/>
  <c r="N150" i="7"/>
  <c r="N138" i="7"/>
  <c r="N136" i="7"/>
  <c r="N134" i="7"/>
  <c r="N131" i="7"/>
  <c r="N127" i="7"/>
  <c r="N122" i="7"/>
  <c r="N114" i="7"/>
  <c r="N113" i="7"/>
  <c r="N14" i="7"/>
  <c r="N12" i="7"/>
  <c r="N3" i="7"/>
  <c r="N4" i="7"/>
  <c r="N5" i="7"/>
  <c r="N8" i="7"/>
  <c r="N15" i="7"/>
  <c r="N16" i="7"/>
  <c r="N17" i="7"/>
  <c r="N19" i="7"/>
  <c r="N20" i="7"/>
  <c r="N21" i="7"/>
  <c r="N22" i="7"/>
  <c r="N23" i="7"/>
  <c r="N24" i="7"/>
  <c r="N49" i="7"/>
  <c r="N50" i="7"/>
  <c r="N52" i="7"/>
  <c r="N56" i="7"/>
  <c r="N57" i="7"/>
  <c r="N58" i="7"/>
  <c r="N67" i="7"/>
  <c r="N68" i="7"/>
  <c r="N69" i="7"/>
  <c r="N70" i="7"/>
  <c r="N71" i="7"/>
  <c r="N72" i="7"/>
  <c r="N73" i="7"/>
  <c r="N75" i="7"/>
  <c r="N76" i="7"/>
  <c r="N77" i="7"/>
  <c r="N85" i="7"/>
  <c r="N128" i="7"/>
  <c r="N142" i="7"/>
  <c r="N143" i="7"/>
  <c r="N146" i="7"/>
  <c r="N158" i="7"/>
  <c r="N159" i="7"/>
  <c r="N163" i="7"/>
  <c r="N164" i="7"/>
  <c r="N166" i="7"/>
  <c r="N191" i="7"/>
  <c r="N2" i="7"/>
  <c r="N217" i="3"/>
  <c r="N216" i="3"/>
  <c r="N215" i="3"/>
  <c r="N214" i="3"/>
  <c r="N213" i="3"/>
  <c r="N212" i="3"/>
  <c r="N211" i="3"/>
  <c r="N210" i="3"/>
  <c r="N209" i="3"/>
  <c r="N187" i="3"/>
  <c r="N186" i="3"/>
  <c r="N185" i="3"/>
  <c r="N184" i="3"/>
  <c r="N183" i="3"/>
  <c r="N182" i="3"/>
  <c r="N181" i="3"/>
  <c r="N180" i="3"/>
  <c r="N179" i="3"/>
  <c r="N165" i="3"/>
  <c r="N164" i="3"/>
  <c r="N163" i="3"/>
  <c r="N160" i="3"/>
  <c r="N159" i="3"/>
  <c r="N158" i="3"/>
  <c r="N157" i="3"/>
  <c r="N156" i="3"/>
  <c r="N155" i="3"/>
  <c r="N126" i="3"/>
  <c r="N120" i="3"/>
  <c r="N111" i="3"/>
  <c r="N109" i="3"/>
  <c r="N101" i="3"/>
  <c r="N100" i="3"/>
  <c r="N78" i="3"/>
  <c r="N15" i="3"/>
  <c r="N13" i="3"/>
  <c r="N4" i="3"/>
  <c r="N5" i="3"/>
  <c r="N8" i="3"/>
  <c r="N9" i="3"/>
  <c r="N16" i="3"/>
  <c r="N17" i="3"/>
  <c r="N18" i="3"/>
  <c r="N21" i="3"/>
  <c r="N22" i="3"/>
  <c r="N23" i="3"/>
  <c r="N24" i="3"/>
  <c r="N25" i="3"/>
  <c r="N26" i="3"/>
  <c r="N27" i="3"/>
  <c r="N29" i="3"/>
  <c r="N35" i="3"/>
  <c r="N36" i="3"/>
  <c r="N37" i="3"/>
  <c r="N39" i="3"/>
  <c r="N43" i="3"/>
  <c r="N44" i="3"/>
  <c r="N45" i="3"/>
  <c r="N46" i="3"/>
  <c r="N54" i="3"/>
  <c r="N55" i="3"/>
  <c r="N56" i="3"/>
  <c r="N57" i="3"/>
  <c r="N58" i="3"/>
  <c r="N59" i="3"/>
  <c r="N60" i="3"/>
  <c r="N62" i="3"/>
  <c r="N63" i="3"/>
  <c r="N70" i="3"/>
  <c r="N73" i="3"/>
  <c r="N74" i="3"/>
  <c r="N89" i="3"/>
  <c r="N90" i="3"/>
  <c r="N93" i="3"/>
  <c r="N106" i="3"/>
  <c r="N107" i="3"/>
  <c r="N114" i="3"/>
  <c r="N116" i="3"/>
  <c r="N123" i="3"/>
  <c r="N131" i="3"/>
  <c r="N132" i="3"/>
  <c r="N133" i="3"/>
  <c r="N134" i="3"/>
  <c r="N137" i="3"/>
  <c r="N138" i="3"/>
  <c r="N140" i="3"/>
  <c r="N141" i="3"/>
  <c r="N142" i="3"/>
  <c r="N143" i="3"/>
  <c r="N144" i="3"/>
  <c r="N145" i="3"/>
  <c r="N147" i="3"/>
  <c r="N148" i="3"/>
  <c r="N149" i="3"/>
  <c r="N150" i="3"/>
  <c r="N151" i="3"/>
  <c r="N152" i="3"/>
  <c r="N153" i="3"/>
  <c r="N166" i="3"/>
  <c r="N170" i="3"/>
  <c r="N176" i="3"/>
  <c r="N3" i="3"/>
  <c r="N2" i="3"/>
  <c r="C265" i="12"/>
  <c r="C264" i="12"/>
  <c r="C263" i="12"/>
  <c r="C262" i="12"/>
  <c r="C258" i="12"/>
  <c r="C257" i="12"/>
  <c r="C256" i="12"/>
  <c r="C255" i="12"/>
  <c r="C254" i="12"/>
  <c r="C253" i="12"/>
  <c r="C252" i="12"/>
  <c r="C251" i="12"/>
  <c r="C250" i="12"/>
  <c r="C249" i="12"/>
  <c r="C248" i="12"/>
  <c r="C247" i="12"/>
  <c r="C246" i="12"/>
  <c r="C245" i="12"/>
  <c r="C244" i="12"/>
  <c r="C243" i="12"/>
  <c r="C242" i="12"/>
  <c r="C226" i="12"/>
  <c r="C223" i="12"/>
  <c r="C222" i="12"/>
  <c r="C220" i="12"/>
  <c r="C219" i="12"/>
  <c r="C218" i="12"/>
  <c r="C217" i="12"/>
  <c r="C216" i="12"/>
  <c r="C215" i="12"/>
  <c r="C209" i="12"/>
  <c r="C208" i="12"/>
  <c r="C207" i="12"/>
  <c r="C206" i="12"/>
  <c r="C203" i="12"/>
  <c r="C202" i="12"/>
  <c r="C157" i="12"/>
  <c r="C156" i="12"/>
  <c r="C155" i="12"/>
  <c r="C147" i="12"/>
  <c r="C142" i="12"/>
  <c r="C139" i="12"/>
  <c r="C138" i="12"/>
  <c r="C137" i="12"/>
  <c r="C135" i="12"/>
  <c r="C127" i="12"/>
  <c r="C126" i="12"/>
  <c r="C125" i="12"/>
  <c r="C124" i="12"/>
  <c r="C122" i="12"/>
  <c r="C121" i="12"/>
  <c r="C115" i="12"/>
  <c r="C110" i="12"/>
  <c r="C109" i="12"/>
  <c r="C107" i="12"/>
  <c r="C106" i="12"/>
  <c r="C105" i="12"/>
  <c r="C104" i="12"/>
  <c r="C103" i="12"/>
  <c r="C102" i="12"/>
  <c r="C101" i="12"/>
  <c r="C100" i="12"/>
  <c r="C97" i="12"/>
  <c r="C96" i="12"/>
  <c r="C95" i="12"/>
  <c r="C94" i="12"/>
  <c r="C93" i="12"/>
  <c r="C92" i="12"/>
  <c r="C91" i="12"/>
  <c r="C78" i="12"/>
  <c r="C77" i="12"/>
  <c r="C76" i="12"/>
  <c r="C75" i="12"/>
  <c r="C72" i="12"/>
  <c r="C71" i="12"/>
  <c r="C70" i="12"/>
  <c r="C69" i="12"/>
  <c r="C68" i="12"/>
  <c r="C67" i="12"/>
  <c r="C66" i="12"/>
  <c r="C65" i="12"/>
  <c r="C64" i="12"/>
  <c r="C63" i="12"/>
  <c r="C62" i="12"/>
  <c r="C60" i="12"/>
  <c r="C61" i="12"/>
  <c r="C59" i="12"/>
  <c r="C58" i="12"/>
  <c r="C57" i="12"/>
  <c r="C56" i="12"/>
  <c r="C55" i="12"/>
  <c r="C54" i="12"/>
  <c r="C44" i="12"/>
  <c r="C43" i="12"/>
  <c r="C42" i="12"/>
  <c r="C41" i="12"/>
  <c r="C40" i="12"/>
  <c r="C28" i="12"/>
  <c r="C27" i="12"/>
  <c r="C26" i="12"/>
  <c r="C11" i="12"/>
  <c r="C9" i="12"/>
  <c r="C8" i="12"/>
  <c r="C7" i="12"/>
  <c r="C5" i="12"/>
  <c r="C3" i="12"/>
  <c r="C102" i="6"/>
  <c r="C292" i="6"/>
  <c r="C291" i="6"/>
  <c r="C290" i="6"/>
  <c r="C289" i="6"/>
  <c r="C285" i="6"/>
  <c r="C283" i="6"/>
  <c r="C284" i="6"/>
  <c r="C282" i="6"/>
  <c r="C281" i="6"/>
  <c r="C280" i="6"/>
  <c r="C279" i="6"/>
  <c r="C278" i="6"/>
  <c r="C277" i="6"/>
  <c r="C276" i="6"/>
  <c r="C275" i="6"/>
  <c r="C274" i="6"/>
  <c r="C273" i="6"/>
  <c r="C272" i="6"/>
  <c r="C271" i="6"/>
  <c r="C270" i="6"/>
  <c r="C269" i="6"/>
  <c r="C267" i="6"/>
  <c r="C266" i="6"/>
  <c r="C265" i="6"/>
  <c r="C264" i="6"/>
  <c r="C263" i="6"/>
  <c r="C260" i="6"/>
  <c r="C259" i="6"/>
  <c r="C258" i="6"/>
  <c r="C257" i="6"/>
  <c r="C256" i="6"/>
  <c r="C255" i="6"/>
  <c r="C254" i="6"/>
  <c r="C253" i="6"/>
  <c r="C252" i="6"/>
  <c r="C251" i="6"/>
  <c r="C250" i="6"/>
  <c r="C249" i="6"/>
  <c r="C248" i="6"/>
  <c r="C247" i="6"/>
  <c r="C246" i="6"/>
  <c r="C245" i="6"/>
  <c r="C244" i="6"/>
  <c r="C243" i="6"/>
  <c r="C242" i="6"/>
  <c r="C241" i="6"/>
  <c r="C240" i="6"/>
  <c r="C239" i="6"/>
  <c r="C238" i="6"/>
  <c r="C237" i="6"/>
  <c r="C236" i="6"/>
  <c r="C235" i="6"/>
  <c r="C234" i="6"/>
  <c r="C233" i="6"/>
  <c r="C232" i="6"/>
  <c r="C189" i="6"/>
  <c r="C188" i="6"/>
  <c r="C187" i="6"/>
  <c r="C185" i="6"/>
  <c r="C184" i="6"/>
  <c r="C183" i="6"/>
  <c r="C182" i="6"/>
  <c r="C181" i="6"/>
  <c r="C180" i="6"/>
  <c r="C179" i="6"/>
  <c r="C178" i="6"/>
  <c r="C177" i="6"/>
  <c r="C176" i="6"/>
  <c r="C175" i="6"/>
  <c r="C174" i="6"/>
  <c r="C173" i="6"/>
  <c r="C172" i="6"/>
  <c r="C171" i="6"/>
  <c r="C166" i="6"/>
  <c r="C165" i="6"/>
  <c r="C164" i="6"/>
  <c r="C163" i="6"/>
  <c r="C162" i="6"/>
  <c r="C161" i="6"/>
  <c r="C160" i="6"/>
  <c r="C155" i="6"/>
  <c r="C154" i="6"/>
  <c r="C153" i="6"/>
  <c r="C152" i="6"/>
  <c r="C151" i="6"/>
  <c r="C150" i="6"/>
  <c r="C149" i="6"/>
  <c r="C143" i="6"/>
  <c r="C141" i="6"/>
  <c r="C140" i="6"/>
  <c r="C139" i="6"/>
  <c r="C138" i="6"/>
  <c r="C137" i="6"/>
  <c r="C136" i="6"/>
  <c r="C135" i="6"/>
  <c r="C134" i="6"/>
  <c r="C133" i="6"/>
  <c r="C132" i="6"/>
  <c r="C131" i="6"/>
  <c r="C129" i="6"/>
  <c r="C127" i="6"/>
  <c r="C126" i="6"/>
  <c r="C123" i="6"/>
  <c r="C122" i="6"/>
  <c r="C121" i="6"/>
  <c r="C120" i="6"/>
  <c r="C119" i="6"/>
  <c r="C118" i="6"/>
  <c r="C117" i="6"/>
  <c r="C116" i="6"/>
  <c r="C114" i="6"/>
  <c r="C113" i="6"/>
  <c r="C112" i="6"/>
  <c r="C111" i="6"/>
  <c r="C110" i="6"/>
  <c r="C109" i="6"/>
  <c r="C108" i="6"/>
  <c r="C107" i="6"/>
  <c r="C106" i="6"/>
  <c r="C105" i="6"/>
  <c r="C104" i="6"/>
  <c r="C103" i="6"/>
  <c r="C101" i="6"/>
  <c r="C100" i="6"/>
  <c r="C99" i="6"/>
  <c r="C98" i="6"/>
  <c r="C97" i="6"/>
  <c r="C96" i="6"/>
  <c r="C95" i="6"/>
  <c r="C94" i="6"/>
  <c r="C93" i="6"/>
  <c r="C88" i="6"/>
  <c r="C87" i="6"/>
  <c r="C82" i="6"/>
  <c r="C81" i="6"/>
  <c r="C76" i="6"/>
  <c r="C75" i="6"/>
  <c r="C70" i="6"/>
  <c r="C69" i="6"/>
  <c r="C64" i="6"/>
  <c r="C63" i="6"/>
  <c r="C58" i="6"/>
  <c r="C57" i="6"/>
  <c r="C46" i="6"/>
  <c r="C45" i="6"/>
  <c r="C29" i="6"/>
  <c r="C28" i="6"/>
  <c r="C27" i="6"/>
  <c r="C26" i="6"/>
  <c r="C42" i="6"/>
  <c r="C41" i="6"/>
  <c r="C38" i="6"/>
  <c r="C37" i="6"/>
  <c r="C36" i="6"/>
  <c r="C35" i="6"/>
  <c r="C34" i="6"/>
  <c r="C33" i="6"/>
  <c r="C32" i="6"/>
  <c r="C31" i="6"/>
  <c r="C30" i="6"/>
  <c r="C23" i="6"/>
  <c r="C24" i="6"/>
  <c r="C22" i="6"/>
  <c r="C21" i="6"/>
  <c r="C20" i="6"/>
  <c r="C19" i="6"/>
  <c r="C18" i="6"/>
  <c r="C17" i="6"/>
  <c r="C15" i="6"/>
  <c r="C14" i="6"/>
  <c r="C13" i="6"/>
  <c r="C12" i="6"/>
  <c r="C10" i="6"/>
  <c r="C9" i="6"/>
  <c r="C8" i="6"/>
  <c r="C7" i="6"/>
  <c r="C5" i="6"/>
  <c r="C4" i="6"/>
  <c r="C3" i="6"/>
  <c r="C2" i="6"/>
</calcChain>
</file>

<file path=xl/comments1.xml><?xml version="1.0" encoding="utf-8"?>
<comments xmlns="http://schemas.openxmlformats.org/spreadsheetml/2006/main">
  <authors>
    <author>Edward Pichon</author>
  </authors>
  <commentList>
    <comment ref="H1" authorId="0">
      <text>
        <r>
          <rPr>
            <sz val="9"/>
            <color indexed="81"/>
            <rFont val="Calibri"/>
            <family val="2"/>
          </rPr>
          <t>Is the feature mandatory, optional or conditional - from the specification.</t>
        </r>
      </text>
    </comment>
    <comment ref="I1" authorId="0">
      <text>
        <r>
          <rPr>
            <sz val="9"/>
            <color indexed="81"/>
            <rFont val="Calibri"/>
            <family val="2"/>
          </rPr>
          <t>Does the device implement the given feature? All entries should be either "Yes" or "No".</t>
        </r>
      </text>
    </comment>
  </commentList>
</comments>
</file>

<file path=xl/comments2.xml><?xml version="1.0" encoding="utf-8"?>
<comments xmlns="http://schemas.openxmlformats.org/spreadsheetml/2006/main">
  <authors>
    <author>Edward Pichon</author>
  </authors>
  <commentList>
    <comment ref="A1" authorId="0">
      <text>
        <r>
          <rPr>
            <sz val="9"/>
            <color indexed="81"/>
            <rFont val="Calibri"/>
            <family val="2"/>
          </rPr>
          <t>The category of the prompt.</t>
        </r>
      </text>
    </comment>
    <comment ref="B1" authorId="0">
      <text>
        <r>
          <rPr>
            <sz val="9"/>
            <color indexed="81"/>
            <rFont val="Calibri"/>
            <family val="2"/>
          </rPr>
          <t>The PIXIT ID is provided by the CTS to tell the tester where to look on this worksheet.</t>
        </r>
      </text>
    </comment>
    <comment ref="D1" authorId="0">
      <text>
        <r>
          <rPr>
            <sz val="9"/>
            <color indexed="81"/>
            <rFont val="Calibri"/>
            <family val="2"/>
          </rPr>
          <t>A descripiton of a task that the tester will need to perform during testing.</t>
        </r>
      </text>
    </comment>
    <comment ref="E1" authorId="0">
      <text>
        <r>
          <rPr>
            <sz val="9"/>
            <color indexed="81"/>
            <rFont val="Calibri"/>
            <family val="2"/>
          </rPr>
          <t>Enter instructions for the tester to perform the described task here.</t>
        </r>
      </text>
    </comment>
  </commentList>
</comments>
</file>

<file path=xl/comments3.xml><?xml version="1.0" encoding="utf-8"?>
<comments xmlns="http://schemas.openxmlformats.org/spreadsheetml/2006/main">
  <authors>
    <author>Edward Pichon</author>
  </authors>
  <commentList>
    <comment ref="H1" authorId="0">
      <text>
        <r>
          <rPr>
            <sz val="9"/>
            <color indexed="81"/>
            <rFont val="Calibri"/>
            <family val="2"/>
          </rPr>
          <t>Is the feature mandatory, optional or conditional - from the specification.</t>
        </r>
      </text>
    </comment>
    <comment ref="I1" authorId="0">
      <text>
        <r>
          <rPr>
            <sz val="9"/>
            <color indexed="81"/>
            <rFont val="Calibri"/>
            <family val="2"/>
          </rPr>
          <t>Does the device implement the given feature? All entries should be either "Yes" or "No".</t>
        </r>
      </text>
    </comment>
  </commentList>
</comments>
</file>

<file path=xl/comments4.xml><?xml version="1.0" encoding="utf-8"?>
<comments xmlns="http://schemas.openxmlformats.org/spreadsheetml/2006/main">
  <authors>
    <author>Edward Pichon</author>
  </authors>
  <commentList>
    <comment ref="A1" authorId="0">
      <text>
        <r>
          <rPr>
            <sz val="9"/>
            <color indexed="81"/>
            <rFont val="Calibri"/>
            <family val="2"/>
          </rPr>
          <t>The category of the prompt.</t>
        </r>
      </text>
    </comment>
    <comment ref="B1" authorId="0">
      <text>
        <r>
          <rPr>
            <sz val="9"/>
            <color indexed="81"/>
            <rFont val="Calibri"/>
            <family val="2"/>
          </rPr>
          <t>The PIXIT ID is provided by the CTS to tell the tester where to look on this worksheet.</t>
        </r>
      </text>
    </comment>
    <comment ref="D1" authorId="0">
      <text>
        <r>
          <rPr>
            <sz val="9"/>
            <color indexed="81"/>
            <rFont val="Calibri"/>
            <family val="2"/>
          </rPr>
          <t>A descripiton of a task that the tester will need to perform during testing.</t>
        </r>
      </text>
    </comment>
    <comment ref="E1" authorId="0">
      <text>
        <r>
          <rPr>
            <sz val="9"/>
            <color indexed="81"/>
            <rFont val="Calibri"/>
            <family val="2"/>
          </rPr>
          <t>Enter instructions for the tester to perform the described task here.</t>
        </r>
      </text>
    </comment>
  </commentList>
</comments>
</file>

<file path=xl/sharedStrings.xml><?xml version="1.0" encoding="utf-8"?>
<sst xmlns="http://schemas.openxmlformats.org/spreadsheetml/2006/main" count="9463" uniqueCount="2154">
  <si>
    <t>Device Role</t>
  </si>
  <si>
    <t>Client</t>
  </si>
  <si>
    <t>VNC</t>
  </si>
  <si>
    <t>Mandatory</t>
  </si>
  <si>
    <t>Optional</t>
  </si>
  <si>
    <t>Server</t>
  </si>
  <si>
    <t>UPnP</t>
  </si>
  <si>
    <t>DAP</t>
  </si>
  <si>
    <t>Device Attestation</t>
  </si>
  <si>
    <t>Audio Output and Input</t>
  </si>
  <si>
    <t>The following items are to be completed:</t>
  </si>
  <si>
    <t>Date of Statement</t>
  </si>
  <si>
    <t>Product Supplier Name</t>
  </si>
  <si>
    <t>Product Supplier Address</t>
  </si>
  <si>
    <t>Product Supplier Telephone #</t>
  </si>
  <si>
    <t>Product Supplier e-mail</t>
  </si>
  <si>
    <t>Product Supplier Additional Info</t>
  </si>
  <si>
    <t>Please provide the information below</t>
  </si>
  <si>
    <t>Contact Person Regarding PICS</t>
  </si>
  <si>
    <t>Role (Client or Server)</t>
  </si>
  <si>
    <t>Implementation Support</t>
  </si>
  <si>
    <t>WLAN Support</t>
  </si>
  <si>
    <t>IPv4 Support</t>
  </si>
  <si>
    <t>IPv4 TCP Support</t>
  </si>
  <si>
    <t>IPv4 UDP Support</t>
  </si>
  <si>
    <t xml:space="preserve">USB CDC NCM Support </t>
  </si>
  <si>
    <t>DHCP Server available</t>
  </si>
  <si>
    <t>Supported Protocol Versions</t>
  </si>
  <si>
    <t>RFB 3.8</t>
  </si>
  <si>
    <t>Supported Security Types</t>
  </si>
  <si>
    <t>None</t>
  </si>
  <si>
    <t>Supported Pixel Formats</t>
  </si>
  <si>
    <t>ARGB 888</t>
  </si>
  <si>
    <t>RGB 888</t>
  </si>
  <si>
    <t>ARGB 555</t>
  </si>
  <si>
    <t>RGB 565</t>
  </si>
  <si>
    <t>RGB 444</t>
  </si>
  <si>
    <t>RGB 343</t>
  </si>
  <si>
    <t>Supported Key Events</t>
  </si>
  <si>
    <t>Device Keys</t>
  </si>
  <si>
    <t>Bell</t>
  </si>
  <si>
    <t>ServerCutText</t>
  </si>
  <si>
    <t>EventMapping</t>
  </si>
  <si>
    <t>KeyEventListing</t>
  </si>
  <si>
    <t>VirtualKeyboardTrigger</t>
  </si>
  <si>
    <t>DeviceStatus</t>
  </si>
  <si>
    <t>FramebufferAlternativeText</t>
  </si>
  <si>
    <t>KeyEvent</t>
  </si>
  <si>
    <t>PointerEvent</t>
  </si>
  <si>
    <t>ClientCutText</t>
  </si>
  <si>
    <t>TouchEvent</t>
  </si>
  <si>
    <t>RTP Client</t>
  </si>
  <si>
    <t>RTP Server</t>
  </si>
  <si>
    <t>RTP Header Extension</t>
  </si>
  <si>
    <t>BT HFP</t>
  </si>
  <si>
    <t>BT A2DP</t>
  </si>
  <si>
    <t>Application Server Service</t>
  </si>
  <si>
    <t>AppStatusUpdate</t>
  </si>
  <si>
    <t>AppListUpdate</t>
  </si>
  <si>
    <t>GetApplicationList</t>
  </si>
  <si>
    <t>LaunchApplication</t>
  </si>
  <si>
    <t>GetApplicationStatus</t>
  </si>
  <si>
    <t>TerminateApplication</t>
  </si>
  <si>
    <t>Client Profile Service</t>
  </si>
  <si>
    <t>UnusedProfileIDs</t>
  </si>
  <si>
    <t>GetMaxNumProfiles</t>
  </si>
  <si>
    <t>SetClientProfile</t>
  </si>
  <si>
    <t>GetClientProfile</t>
  </si>
  <si>
    <t>Attestation Request</t>
  </si>
  <si>
    <t>Attestation Response</t>
  </si>
  <si>
    <t>Feature</t>
  </si>
  <si>
    <t>Conditional</t>
  </si>
  <si>
    <t>Signature</t>
  </si>
  <si>
    <t>Optional.:&gt;=1</t>
  </si>
  <si>
    <t>Optional:==1</t>
  </si>
  <si>
    <t>MUST be supported by the device.</t>
  </si>
  <si>
    <t>MAY be supported by the device.</t>
  </si>
  <si>
    <t>Optional, but at least one feature of this group (marked as Optional.&gt;=1) must be supported.</t>
  </si>
  <si>
    <t>Optional, but exactly one feature of this group (marked as Optional.==1) must be supported.</t>
  </si>
  <si>
    <t>MUST be supported by the device if it's optional parent feature is supported.</t>
  </si>
  <si>
    <t>CON</t>
  </si>
  <si>
    <t>Connectivity</t>
  </si>
  <si>
    <t>USB 2.0 High-Speed Host</t>
  </si>
  <si>
    <t>USB MirrorLink Command</t>
  </si>
  <si>
    <t>Support AP role</t>
  </si>
  <si>
    <t>DHCP Server</t>
  </si>
  <si>
    <t>DHCP Client</t>
  </si>
  <si>
    <t>Support Device role</t>
  </si>
  <si>
    <t>No</t>
  </si>
  <si>
    <t>Yes</t>
  </si>
  <si>
    <t>Open</t>
  </si>
  <si>
    <t>Optional==1</t>
  </si>
  <si>
    <t>Protocol Category</t>
  </si>
  <si>
    <t>Obligation</t>
  </si>
  <si>
    <t>Optional&gt;=1</t>
  </si>
  <si>
    <t>USB 2.0 High-Speed Device</t>
  </si>
  <si>
    <t>USB Support</t>
  </si>
  <si>
    <t>Manual switch to CDC/NCM</t>
  </si>
  <si>
    <t>VNC Based Display and Control</t>
  </si>
  <si>
    <t>8 bit greyscale</t>
  </si>
  <si>
    <t>16 bit greyscale</t>
  </si>
  <si>
    <t>Supported Framebuffer Updates</t>
  </si>
  <si>
    <t>Supported (Pseudo) Encodings</t>
  </si>
  <si>
    <t>RLE Encoding</t>
  </si>
  <si>
    <t>Transform Encoding</t>
  </si>
  <si>
    <t>Big Endian</t>
  </si>
  <si>
    <t>Little Endian</t>
  </si>
  <si>
    <t>X11 Keys</t>
  </si>
  <si>
    <t>ITU Keys</t>
  </si>
  <si>
    <t>Knob Keys</t>
  </si>
  <si>
    <t>Multimedia Keys</t>
  </si>
  <si>
    <t>Function Keys</t>
  </si>
  <si>
    <t>Protocol Handshake</t>
  </si>
  <si>
    <t>Security Type Selection</t>
  </si>
  <si>
    <t>Initialization</t>
  </si>
  <si>
    <t>Set Encoding</t>
  </si>
  <si>
    <t>Display Configuration</t>
  </si>
  <si>
    <t>Event Configuration</t>
  </si>
  <si>
    <t>Set Pixel Format</t>
  </si>
  <si>
    <t>Messages - Handshaking and Intialization</t>
  </si>
  <si>
    <t>Messages - Basic Operation</t>
  </si>
  <si>
    <t>Framebuffer Update (Request)</t>
  </si>
  <si>
    <t>Messages - MirrorLink Operation</t>
  </si>
  <si>
    <t>Support Text Entry Exchange</t>
  </si>
  <si>
    <t>Rotation Change</t>
  </si>
  <si>
    <t>Orientation Change</t>
  </si>
  <si>
    <t>Blocking Notification</t>
  </si>
  <si>
    <t>Switch to native UI</t>
  </si>
  <si>
    <t>Unblock framebuffer</t>
  </si>
  <si>
    <t>Audio</t>
  </si>
  <si>
    <t>Unblock Audio Stream</t>
  </si>
  <si>
    <t>Force enabled</t>
  </si>
  <si>
    <t>Block Framebuffer</t>
  </si>
  <si>
    <t>Block Audio</t>
  </si>
  <si>
    <t>Ignore</t>
  </si>
  <si>
    <t>Other</t>
  </si>
  <si>
    <t>Audio feedback</t>
  </si>
  <si>
    <t>Visual feedback</t>
  </si>
  <si>
    <t>Both</t>
  </si>
  <si>
    <t>Ignored</t>
  </si>
  <si>
    <t>Non-incremental Updates</t>
  </si>
  <si>
    <t>Incremental Updates</t>
  </si>
  <si>
    <t>RTP Client Payload Type 0</t>
  </si>
  <si>
    <t>RTP Client Payload Type 98</t>
  </si>
  <si>
    <t>RTP Client Payload Type 99</t>
  </si>
  <si>
    <t>RTP Server Payload Type 0</t>
  </si>
  <si>
    <t>RTP Server Payload Type 98</t>
  </si>
  <si>
    <t>RTP Server Payload Type 99</t>
  </si>
  <si>
    <t>GetCertifiedApplicationList</t>
  </si>
  <si>
    <t>GetAppCertificationStatus</t>
  </si>
  <si>
    <t>GetApplicationCertificateInfo</t>
  </si>
  <si>
    <t>Evented State Variables</t>
  </si>
  <si>
    <t>Service Actions</t>
  </si>
  <si>
    <t xml:space="preserve">Server Device </t>
  </si>
  <si>
    <t>UPnP Services</t>
  </si>
  <si>
    <t>Notification Server Service</t>
  </si>
  <si>
    <t>Set Allowed Application</t>
  </si>
  <si>
    <t>Get Notification</t>
  </si>
  <si>
    <t>Get Supported Applications</t>
  </si>
  <si>
    <t>Invoke Noti Action</t>
  </si>
  <si>
    <t>VNC Server</t>
  </si>
  <si>
    <t>UPnP Server</t>
  </si>
  <si>
    <t>CDB Endpoint</t>
  </si>
  <si>
    <t>BT Connectivity</t>
  </si>
  <si>
    <t>CDB</t>
  </si>
  <si>
    <t>Source Endpoint</t>
  </si>
  <si>
    <t>ServicesSupported</t>
  </si>
  <si>
    <t>ServicesRequest</t>
  </si>
  <si>
    <t>StartService</t>
  </si>
  <si>
    <t>StopService</t>
  </si>
  <si>
    <t>ServicePayload</t>
  </si>
  <si>
    <t>ServiceResponse</t>
  </si>
  <si>
    <t>ByeBye</t>
  </si>
  <si>
    <t>Ping</t>
  </si>
  <si>
    <t>PingResponse</t>
  </si>
  <si>
    <t>Sink Endpoint</t>
  </si>
  <si>
    <t>SBP</t>
  </si>
  <si>
    <t>Get</t>
  </si>
  <si>
    <t>Set</t>
  </si>
  <si>
    <t>Subscribe</t>
  </si>
  <si>
    <t>Cancel</t>
  </si>
  <si>
    <t>AliveRequest</t>
  </si>
  <si>
    <t>AliveResponse</t>
  </si>
  <si>
    <t>AuthenticationChallenge</t>
  </si>
  <si>
    <t>AuthenticationResponse</t>
  </si>
  <si>
    <t>Response</t>
  </si>
  <si>
    <t>GPS Service</t>
  </si>
  <si>
    <t>Location Service</t>
  </si>
  <si>
    <t>Context Information Encoding</t>
  </si>
  <si>
    <t>MirrorLink Encoding</t>
  </si>
  <si>
    <t>Desktop Size Encoding</t>
  </si>
  <si>
    <t>Long key press events</t>
  </si>
  <si>
    <t>Non-incremental Full Updates</t>
  </si>
  <si>
    <t>Non-incremental Partial Updates</t>
  </si>
  <si>
    <t>Content Attestation</t>
  </si>
  <si>
    <t>FB Context Information</t>
  </si>
  <si>
    <t>FB Content</t>
  </si>
  <si>
    <t>Number of FB Bytes</t>
  </si>
  <si>
    <t>Night Modus</t>
  </si>
  <si>
    <t>Screen Saver</t>
  </si>
  <si>
    <t>Device Lock</t>
  </si>
  <si>
    <t>Key Lock</t>
  </si>
  <si>
    <t>Automatic switch to CDC/NCM (on ML cmd)</t>
  </si>
  <si>
    <t>Device</t>
  </si>
  <si>
    <t>Move VNC FB in Background</t>
  </si>
  <si>
    <t>Move into Background</t>
  </si>
  <si>
    <t>Move into Foreground</t>
  </si>
  <si>
    <t>Global Audio (Un)Mute</t>
  </si>
  <si>
    <t>Block Audio Stream</t>
  </si>
  <si>
    <t>Dynamic update</t>
  </si>
  <si>
    <t>XML signing</t>
  </si>
  <si>
    <t>Application supporting notification</t>
  </si>
  <si>
    <t>Protocol Implementation Conformance Statement</t>
  </si>
  <si>
    <t>Reference Documents, Change History, Legend and Notes</t>
  </si>
  <si>
    <t>PICS Effective Date:</t>
  </si>
  <si>
    <t>ML-CTS Version</t>
  </si>
  <si>
    <t>Reference Documents</t>
  </si>
  <si>
    <t>Doc#</t>
  </si>
  <si>
    <t>Title</t>
  </si>
  <si>
    <t>Version</t>
  </si>
  <si>
    <t>Released</t>
  </si>
  <si>
    <t>Change History</t>
  </si>
  <si>
    <t>Date</t>
  </si>
  <si>
    <t>Editor</t>
  </si>
  <si>
    <t>Description</t>
  </si>
  <si>
    <t>Initial Draft Version</t>
  </si>
  <si>
    <t>Ed Pichon</t>
  </si>
  <si>
    <t>Updated with VNC/FB Test Cases. XML export routines.</t>
  </si>
  <si>
    <t>0.3</t>
  </si>
  <si>
    <t>0.4</t>
  </si>
  <si>
    <t>Jörg Brakensiek</t>
  </si>
  <si>
    <t>XML Tag</t>
  </si>
  <si>
    <t>FEAT_SERVER_VNC_RGB_888</t>
  </si>
  <si>
    <t>FEAT_SERVER_VNC_ARGB_555</t>
  </si>
  <si>
    <t>FEAT_SERVER_VNC_RGB_444</t>
  </si>
  <si>
    <t>FEAT_SERVER_VNC_RGB_343</t>
  </si>
  <si>
    <t>FEAT_SERVER_VNC_16bit_Greyscale</t>
  </si>
  <si>
    <t>FEAT_SERVER_VNC_8bit_Greyscale</t>
  </si>
  <si>
    <t>FEAT_SERVER_VNC_IncrementalFramebuffer</t>
  </si>
  <si>
    <t>FEAT_SERVER_VNC_Pseudo_RLE_Encoding</t>
  </si>
  <si>
    <t>FEAT_SERVER_VNC_Pseudo_Transform_Encoding</t>
  </si>
  <si>
    <t>FEAT_SERVER_VNC_Pseudo_Desktop_Encoding</t>
  </si>
  <si>
    <t>FEAT_SERVER_VNC_ITU_Keys</t>
  </si>
  <si>
    <t>FEAT_SERVER_VNC_Knob_Keys</t>
  </si>
  <si>
    <t>FEAT_SERVER_VNC_Device_Keys</t>
  </si>
  <si>
    <t>FEAT_SERVER_VNC_Multimedia_Keys</t>
  </si>
  <si>
    <t>FEAT_SERVER_VNC_Function_Keys</t>
  </si>
  <si>
    <t>FEAT_SERVER_VNC_Long_Keys</t>
  </si>
  <si>
    <t>FEAT_SERVER_VNC_Unicode_Key_Events</t>
  </si>
  <si>
    <t>FEAT_SERVER_VNC_Unicode_Client_Cut</t>
  </si>
  <si>
    <t>FEAT_SERVER_VNC_Unicode_Server_Cut</t>
  </si>
  <si>
    <t>FEAT_SERVER_VNC_Set_Pixel_Format</t>
  </si>
  <si>
    <t>FEAT_SERVER_VNC_Client_Cut</t>
  </si>
  <si>
    <t>FEAT_SERVER_VNC_Server_Cut</t>
  </si>
  <si>
    <t>FEAT_SERVER_VNC_PointerEvent</t>
  </si>
  <si>
    <t>FEAT_SERVER_VNC_VirtualKeyboardTrigger</t>
  </si>
  <si>
    <t>FEAT_SERVER_VNC_VirtualKeyboardTrigger_Text</t>
  </si>
  <si>
    <t>FEAT_SERVER_VNC_KeyEventListing</t>
  </si>
  <si>
    <t>FEAT_SERVER_VNC_Night_Modus</t>
  </si>
  <si>
    <t>FEAT_SERVER_VNC_Screen_Saver</t>
  </si>
  <si>
    <t>FEAT_SERVER_VNC_Device_Lock</t>
  </si>
  <si>
    <t>FEAT_SERVER_VNC_Key_Lock</t>
  </si>
  <si>
    <t>FEAT_SERVER_VNC_Rotation_Change</t>
  </si>
  <si>
    <t>FEAT_SERVER_VNC_Orientation_Change</t>
  </si>
  <si>
    <t>FEAT_SERVER_VNC_Orientation_Change_Trigger</t>
  </si>
  <si>
    <t>FEAT_SERVER_VNC_Framebuffer_Alt_Text</t>
  </si>
  <si>
    <t>FEAT_SERVER_VNC_Framebuffer_Unblock</t>
  </si>
  <si>
    <t>FEAT_SERVER_VNC_Framebuffer_Native_UI</t>
  </si>
  <si>
    <t>FEAT_SERVER_VNC_Audio_Unblock</t>
  </si>
  <si>
    <t>FEAT_SERVER_VNC_TouchEvent</t>
  </si>
  <si>
    <t>FEAT_SERVER_VNC_TouchEvent_Force</t>
  </si>
  <si>
    <t>FEAT_SERVER_VNC_Attestation_Signature</t>
  </si>
  <si>
    <t>FEAT_SERVER_VNC_Attestation</t>
  </si>
  <si>
    <t>FEAT_SERVER_VNC_Attestation_Request</t>
  </si>
  <si>
    <t>FEAT_SERVER_VNC_Attestation_Context</t>
  </si>
  <si>
    <t>FEAT_SERVER_VNC_Attestation_Content</t>
  </si>
  <si>
    <t>FEAT_SERVER_VNC_Attestation_Bytes</t>
  </si>
  <si>
    <t>FEAT_SERVER_VNC_Attestation_Response</t>
  </si>
  <si>
    <t>FEAT_SERVER_VNC_Scaling_Up</t>
  </si>
  <si>
    <t>FEAT_SERVER_VNC_Framebuffer_Size</t>
  </si>
  <si>
    <t>FEAT_SERVER_AUDIO_RTP_Client</t>
  </si>
  <si>
    <t>FEAT_SERVER_AUDIO_RTP_Client_Type0</t>
  </si>
  <si>
    <t>FEAT_SERVER_AUDIO_RTP_Client_Type98</t>
  </si>
  <si>
    <t>FEAT_SERVER_AUDIO_RTP_Client_Type99</t>
  </si>
  <si>
    <t>FEAT_SERVER_AUDIO_RTP_Client_Voice</t>
  </si>
  <si>
    <t>FEAT_SERVER_AUDIO_RTP_Server_Type0</t>
  </si>
  <si>
    <t>FEAT_SERVER_AUDIO_RTP_Server_Type98</t>
  </si>
  <si>
    <t>FEAT_SERVER_AUDIO_RTP_Server_Header</t>
  </si>
  <si>
    <t>FEAT_SERVER_AUDIO_RTP_BT_HFP</t>
  </si>
  <si>
    <t>FEAT_SERVER_AUDIO_RTP_BT_A2DP</t>
  </si>
  <si>
    <t>FEAT_SERVER_UPNP_AppListUpdate</t>
  </si>
  <si>
    <t>FEAT_SERVER_UPNP_AppListUpdate_Dynamic</t>
  </si>
  <si>
    <t>FEAT_SERVER_UPNP_AppList_XML_Signing</t>
  </si>
  <si>
    <t>FEAT_SERVER_UPNP_AppCert_XML_Signing</t>
  </si>
  <si>
    <t>FEAT_SERVER_UPNP_Notification</t>
  </si>
  <si>
    <t>FEAT_SERVER_UPNP_Notification_App</t>
  </si>
  <si>
    <t>FEAT_SERVER_UPNP_Notification_State</t>
  </si>
  <si>
    <t>AcitveNotEvent</t>
  </si>
  <si>
    <t>FEAT_SERVER_UPNP_Notification_State_NotEvent</t>
  </si>
  <si>
    <t>FEAT_SERVER_UPNP_Notification_Service</t>
  </si>
  <si>
    <t>FEAT_SERVER_UPNP_Notification_Service_Get</t>
  </si>
  <si>
    <t>FEAT_SERVER_UPNP_Notification_Service_Native</t>
  </si>
  <si>
    <t>FEAT_SERVER_UPNP_Notification_Service_GetApps</t>
  </si>
  <si>
    <t>FEAT_SERVER_UPNP_Notification_Service_SetApp</t>
  </si>
  <si>
    <t>FEAT_SERVER_UPNP_Notification_Service_Invoke</t>
  </si>
  <si>
    <t>FEAT_SERVER_UPNP_Server_BT</t>
  </si>
  <si>
    <t>FEAT_SERVER_UPNP_Server_Device_Keys</t>
  </si>
  <si>
    <t>FEAT_SERVER_UPNP_Server_XML_Signing</t>
  </si>
  <si>
    <t>FEAT_SERVER_DAP_VNC</t>
  </si>
  <si>
    <t>FEAT_SERVER_DAP_UPNP</t>
  </si>
  <si>
    <t>FEAT_SERVER_DAP_RTP_Server</t>
  </si>
  <si>
    <t>FEAT_SERVER_DAP_RTP_Client</t>
  </si>
  <si>
    <t>FEAT_SERVER_DAP_CDB</t>
  </si>
  <si>
    <t>FEAT_SERVER_CON_USB_CDCNCM_Switch</t>
  </si>
  <si>
    <t>FEAT_SERVER_CON_WLAN</t>
  </si>
  <si>
    <t>FEAT_SERVER_CON_WLAN_AP_Role</t>
  </si>
  <si>
    <t>FEAT_SERVER_CON_WLAN_AP_Role_DHCP</t>
  </si>
  <si>
    <t>FEAT_CLIENT_CON_USB_ML_Command</t>
  </si>
  <si>
    <t>FEAT_CLIENT_CON_WLAN</t>
  </si>
  <si>
    <t>FEAT_CLIENT_CON_WLAN_AP_Role</t>
  </si>
  <si>
    <t>FEAT_CLIENT_CON_WLAN_AP_Role_DHCP</t>
  </si>
  <si>
    <t>FEAT_CLIENT_VNC_RGB_888</t>
  </si>
  <si>
    <t>FEAT_CLIENT_VNC_ARGB_555</t>
  </si>
  <si>
    <t>FEAT_CLIENT_VNC_RGB_444</t>
  </si>
  <si>
    <t>FEAT_CLIENT_VNC_RGB_343</t>
  </si>
  <si>
    <t>FEAT_CLIENT_VNC_16bit_Greyscale</t>
  </si>
  <si>
    <t>FEAT_CLIENT_VNC_8bit_Greyscale</t>
  </si>
  <si>
    <t>FEAT_CLIENT_VNC_IncrementalFramebuffer</t>
  </si>
  <si>
    <t>FEAT_CLIENT_VNC_Pseudo_RLE_Encoding</t>
  </si>
  <si>
    <t>FEAT_CLIENT_VNC_Pseudo_Transform_Encoding</t>
  </si>
  <si>
    <t>FEAT_CLIENT_VNC_Pseudo_Desktop_Encoding</t>
  </si>
  <si>
    <t>FEAT_CLIENT_VNC_ITU_Keys</t>
  </si>
  <si>
    <t>FEAT_CLIENT_VNC_Knob_Keys</t>
  </si>
  <si>
    <t>FEAT_CLIENT_VNC_Device_Keys</t>
  </si>
  <si>
    <t>FEAT_CLIENT_VNC_Multimedia_Keys</t>
  </si>
  <si>
    <t>FEAT_CLIENT_VNC_Function_Keys</t>
  </si>
  <si>
    <t>FEAT_CLIENT_VNC_Long_Keys</t>
  </si>
  <si>
    <t>FEAT_CLIENT_VNC_Unicode</t>
  </si>
  <si>
    <t>FEAT_CLIENT_VNC_Unicode_Key_Events</t>
  </si>
  <si>
    <t>FEAT_CLIENT_VNC_Unicode_Client_Cut</t>
  </si>
  <si>
    <t>FEAT_CLIENT_VNC_Unicode_Server_Cut</t>
  </si>
  <si>
    <t>FEAT_CLIENT_VNC_Set_Pixel_Format</t>
  </si>
  <si>
    <t>FEAT_CLIENT_VNC_Bell</t>
  </si>
  <si>
    <t>FEAT_CLIENT_VNC_Client_Cut</t>
  </si>
  <si>
    <t>FEAT_CLIENT_VNC_Server_Cut</t>
  </si>
  <si>
    <t>FEAT_CLIENT_VNC_PointerEvent</t>
  </si>
  <si>
    <t>FEAT_CLIENT_VNC_KeyEventListing</t>
  </si>
  <si>
    <t>FEAT_CLIENT_VNC_Night_Modus</t>
  </si>
  <si>
    <t>FEAT_CLIENT_VNC_Rotation_Change</t>
  </si>
  <si>
    <t>FEAT_CLIENT_VNC_Orientation_Change</t>
  </si>
  <si>
    <t>FEAT_CLIENT_VNC_Framebuffer_Alt_Text</t>
  </si>
  <si>
    <t>FEAT_CLIENT_VNC_TouchEvent</t>
  </si>
  <si>
    <t>FEAT_CLIENT_VNC_TouchEvent_Force</t>
  </si>
  <si>
    <t>FEAT_CLIENT_VNC_Attestation</t>
  </si>
  <si>
    <t>FEAT_CLIENT_VNC_Attestation_Request</t>
  </si>
  <si>
    <t>FEAT_CLIENT_VNC_Attestation_Context</t>
  </si>
  <si>
    <t>FEAT_CLIENT_VNC_Attestation_Content</t>
  </si>
  <si>
    <t>FEAT_CLIENT_VNC_Attestation_Bytes</t>
  </si>
  <si>
    <t>FEAT_CLIENT_VNC_Attestation_Response</t>
  </si>
  <si>
    <t>FEAT_CLIENT_VNC_Scaling</t>
  </si>
  <si>
    <t>FEAT_CLIENT_VNC_Scaling_Up</t>
  </si>
  <si>
    <t>FEAT_CLIENT_AUDIO_RTP_Client_Type0</t>
  </si>
  <si>
    <t>FEAT_CLIENT_AUDIO_RTP_Client_Type98</t>
  </si>
  <si>
    <t>FEAT_CLIENT_AUDIO_RTP_Server_Type0</t>
  </si>
  <si>
    <t>FEAT_CLIENT_AUDIO_RTP_Server_Type98</t>
  </si>
  <si>
    <t>FEAT_CLIENT_AUDIO_RTP_Server_Header</t>
  </si>
  <si>
    <t>FEAT_CLIENT_AUDIO_RTP_BT_HFP</t>
  </si>
  <si>
    <t>FEAT_CLIENT_AUDIO_RTP_BT_A2DP</t>
  </si>
  <si>
    <t>FEAT_CLIENT_UPNP_Notification</t>
  </si>
  <si>
    <t>FEAT_CLIENT_UPNP_Notification_State</t>
  </si>
  <si>
    <t>FEAT_CLIENT_UPNP_Notification_State_NotEvent</t>
  </si>
  <si>
    <t>FEAT_CLIENT_UPNP_Notification_Service</t>
  </si>
  <si>
    <t>FEAT_CLIENT_UPNP_Notification_Service_Get</t>
  </si>
  <si>
    <t>FEAT_CLIENT_UPNP_Notification_Service_Native</t>
  </si>
  <si>
    <t>FEAT_CLIENT_UPNP_Notification_Service_GetApps</t>
  </si>
  <si>
    <t>FEAT_CLIENT_UPNP_Notification_Service_SetApp</t>
  </si>
  <si>
    <t>FEAT_CLIENT_UPNP_Notification_Service_Invoke</t>
  </si>
  <si>
    <t>FEAT_CLIENT_UPNP_Server_BT</t>
  </si>
  <si>
    <t>FEAT_CLIENT_UPNP_Server_Device_Keys</t>
  </si>
  <si>
    <t>FEAT_CLIENT_DAP_VNC</t>
  </si>
  <si>
    <t>FEAT_CLIENT_DAP_UPNP</t>
  </si>
  <si>
    <t>FEAT_CLIENT_DAP_RTP_Server</t>
  </si>
  <si>
    <t>FEAT_CLIENT_DAP_RTP_Client</t>
  </si>
  <si>
    <t>FEAT_CLIENT_DAP_CDB</t>
  </si>
  <si>
    <t>FEAT_SERVER_CON_WLAN_Support_Role</t>
  </si>
  <si>
    <t>FEAT_SERVER_CON_WLAN_Support_Role_DHCP</t>
  </si>
  <si>
    <t>FEAT_CLIENT_CON_WLAN_Support_Role</t>
  </si>
  <si>
    <t>FEAT_CLIENT_CON_WLAN_Support_Role_DHCP</t>
  </si>
  <si>
    <t>FEAT_CLIENT_VNC_ARGB_888</t>
  </si>
  <si>
    <t>FEAT_CLIENT_VNC_RGB_565</t>
  </si>
  <si>
    <t>FEAT_CLIENT_VNC_EventMapping</t>
  </si>
  <si>
    <t>FEAT_CLIENT_VNC_DeviceStatus</t>
  </si>
  <si>
    <t>FEAT_CLIENT_VNC_Blocking</t>
  </si>
  <si>
    <t>FEAT_CLIENT_VNC_Blocking_Block</t>
  </si>
  <si>
    <t>FEAT_CLIENT_VNC_Blocking_Unblock</t>
  </si>
  <si>
    <t>FEAT_CLIENT_VNC_Blocking_Native_UI</t>
  </si>
  <si>
    <t>FEAT_CLIENT_VNC_Blocking_Move</t>
  </si>
  <si>
    <t>FEAT_CLIENT_VNC_Blocking_Foreground</t>
  </si>
  <si>
    <t>FEAT_CLIENT_VNC_Blocking_Background</t>
  </si>
  <si>
    <t>FEAT_CLIENT_VNC_Blocking_Audio</t>
  </si>
  <si>
    <t>FEAT_CLIENT_VNC_Blocking_Audio_Block</t>
  </si>
  <si>
    <t>FEAT_CLIENT_VNC_Blocking_Mute</t>
  </si>
  <si>
    <t>FEAT_CLIENT_AUDIO</t>
  </si>
  <si>
    <t>FEAT_CLIENT_AUDIO_RTP_Server</t>
  </si>
  <si>
    <t>FEAT_CLIENT_AUDIO_RTP_Server_Type99</t>
  </si>
  <si>
    <t>FEAT_CLIENT_UPNP_GetApplicationStatus</t>
  </si>
  <si>
    <t>FEAT_CLIENT_UPNP_TerminateApplication</t>
  </si>
  <si>
    <t>FEAT_CLIENT_UPNP_GetCertifiedApplicationList</t>
  </si>
  <si>
    <t>FEAT_CLIENT_UPNP_GetAppCertificationStatus</t>
  </si>
  <si>
    <t>FEAT_CLIENT_UPNP_GetApplicationCertificateInfo</t>
  </si>
  <si>
    <t>FEAT_CLIENT_UPNP_Profile</t>
  </si>
  <si>
    <t>FEAT_CLIENT_UPNP_AppServer_State</t>
  </si>
  <si>
    <t>FEAT_CLIENT_UPNP_AppServer_AppStatusUpdate</t>
  </si>
  <si>
    <t>FEAT_CLIENT_UPNP_AppServer_AppListUpdate</t>
  </si>
  <si>
    <t>FEAT_CLIENT_UPNP_Profile_State</t>
  </si>
  <si>
    <t>FEAT_CLIENT_UPNP_Profile_UnusedProfileIDs</t>
  </si>
  <si>
    <t>FEAT_CLIENT_UPNP_Profile_GetMaxNumProfiles</t>
  </si>
  <si>
    <t>FEAT_CLIENT_UPNP_Profile_SetClientProfile</t>
  </si>
  <si>
    <t>FEAT_CLIENT_UPNP_Profile_GetClientProfile</t>
  </si>
  <si>
    <t>FEAT_CLIENT_UPNP_Profile_Services</t>
  </si>
  <si>
    <t>FEAT_CLIENT_UPNP_Notification_Service_VNC</t>
  </si>
  <si>
    <t>FEAT_CLIENT_DAP_Request</t>
  </si>
  <si>
    <t>FEAT_CLIENT_DAP</t>
  </si>
  <si>
    <t>FEAT_CLIENT_DAP_Device</t>
  </si>
  <si>
    <t>Server Framebuffer exceeds 800x480</t>
  </si>
  <si>
    <t>Server Framebuffer within 800x480</t>
  </si>
  <si>
    <t>FEAT_SERVER_VNC_Framebuffer_Large</t>
  </si>
  <si>
    <t>FEAT_SERVER_VNC_Framebuffer_Small</t>
  </si>
  <si>
    <t>FEAT_CLIENT_VNC_Framebuffer_Large</t>
  </si>
  <si>
    <t>FEAT_CLIENT_VNC_Framebuffer_Small</t>
  </si>
  <si>
    <t>FEAT_CLIENT_CDB_Sink_Supported</t>
  </si>
  <si>
    <t>FEAT_CLIENT_CDB_Source_Ping_Response</t>
  </si>
  <si>
    <t>FEAT_CLIENT_CDB_Source</t>
  </si>
  <si>
    <t>FEAT_CLIENT_CDB_Source_Request</t>
  </si>
  <si>
    <t>FEAT_CLIENT_CDB_Source_Supported</t>
  </si>
  <si>
    <t>FEAT_CLIENT_CDB_Source_Start</t>
  </si>
  <si>
    <t>FEAT_CLIENT_CDB_Source_Stop</t>
  </si>
  <si>
    <t>FEAT_CLIENT_CDB_Source_Payload</t>
  </si>
  <si>
    <t>FEAT_CLIENT_CDB_Source_Response</t>
  </si>
  <si>
    <t>FEAT_CLIENT_CDB_Source_ByeBye</t>
  </si>
  <si>
    <t>FEAT_CLIENT_CDB_Source_Ping</t>
  </si>
  <si>
    <t>FEAT_CLIENT_CDB_Sink</t>
  </si>
  <si>
    <t>FEAT_CLIENT_CDB_Sink_Request</t>
  </si>
  <si>
    <t>FEAT_CLIENT_CDB_Sink_Start</t>
  </si>
  <si>
    <t>FEAT_CLIENT_CDB_Sink_Stop</t>
  </si>
  <si>
    <t>FEAT_CLIENT_CDB_Sink_Payload</t>
  </si>
  <si>
    <t>FEAT_CLIENT_CDB_Sink_Response</t>
  </si>
  <si>
    <t>FEAT_CLIENT_CDB_Sink_ByeBye</t>
  </si>
  <si>
    <t>FEAT_CLIENT_CDB_Sink_Ping</t>
  </si>
  <si>
    <t>FEAT_CLIENT_CDB_Sink_Ping_Response</t>
  </si>
  <si>
    <t>FEAT_SERVER_CDB_Source</t>
  </si>
  <si>
    <t>FEAT_SERVER_CDB_Source_Request</t>
  </si>
  <si>
    <t>FEAT_SERVER_CDB_Source_Supported</t>
  </si>
  <si>
    <t>FEAT_SERVER_CDB_Source_Start</t>
  </si>
  <si>
    <t>FEAT_SERVER_CDB_Source_Stop</t>
  </si>
  <si>
    <t>FEAT_SERVER_CDB_Source_Payload</t>
  </si>
  <si>
    <t>FEAT_SERVER_CDB_Source_Response</t>
  </si>
  <si>
    <t>FEAT_SERVER_CDB_Source_ByeBye</t>
  </si>
  <si>
    <t>FEAT_SERVER_CDB_Source_Ping</t>
  </si>
  <si>
    <t>FEAT_SERVER_CDB_Source_Ping_Response</t>
  </si>
  <si>
    <t>FEAT_SERVER_CDB_Sink</t>
  </si>
  <si>
    <t>FEAT_SERVER_CDB_Sink_Request</t>
  </si>
  <si>
    <t>FEAT_SERVER_CDB_Sink_Supported</t>
  </si>
  <si>
    <t>FEAT_SERVER_CDB_Sink_Start</t>
  </si>
  <si>
    <t>FEAT_SERVER_CDB_Sink_Stop</t>
  </si>
  <si>
    <t>FEAT_SERVER_CDB_Sink_Payload</t>
  </si>
  <si>
    <t>FEAT_SERVER_CDB_Sink_Response</t>
  </si>
  <si>
    <t>FEAT_SERVER_CDB_Sink_ByeBye</t>
  </si>
  <si>
    <t>FEAT_SERVER_CDB_Sink_Ping</t>
  </si>
  <si>
    <t>FEAT_SERVER_CDB_Sink_Ping_Response</t>
  </si>
  <si>
    <t>Up Scaling</t>
  </si>
  <si>
    <t>Down Scaling</t>
  </si>
  <si>
    <t>Server FB support</t>
  </si>
  <si>
    <t>Client Scaling</t>
  </si>
  <si>
    <t xml:space="preserve">Client follows Server FB </t>
  </si>
  <si>
    <t>Down Scaling from FB &gt; 800x480</t>
  </si>
  <si>
    <t>Down Scaling from FB &lt;= 800x480</t>
  </si>
  <si>
    <t>Client Framebuffer &lt;= 800x480</t>
  </si>
  <si>
    <t>Client Framebuffer &gt; 800x480</t>
  </si>
  <si>
    <t>FEAT_CLIENT_VNC_Scaling_SmallDown</t>
  </si>
  <si>
    <t>FEAT_CLIENT_VNC_Follow_Server_FB</t>
  </si>
  <si>
    <t>FEAT_CLIENT_VNC_ServerFBSupport</t>
  </si>
  <si>
    <t>FEAT_SERVER_UPNP_UnusedProfileIDs</t>
  </si>
  <si>
    <t>FEAT_SERVER_UPNP_AppStatusUpdate</t>
  </si>
  <si>
    <t>FEAT_SERVER_VNC_Block_Audio</t>
  </si>
  <si>
    <t>FEAT_SERVER_VNC_Block_Framebuffer</t>
  </si>
  <si>
    <t>FEAT_SERVER_VNC_X11_Keys</t>
  </si>
  <si>
    <t>FEAT_SERVER_CON_Manual_Switch</t>
  </si>
  <si>
    <t>FEAT_CLIENT_VNC_X11_Keys</t>
  </si>
  <si>
    <t>0.5</t>
  </si>
  <si>
    <t>Updated VNC/FB elements.</t>
  </si>
  <si>
    <t>Added XML tags.</t>
  </si>
  <si>
    <t>Updated based on Murali's feedback on 1.0.1 PICS.</t>
  </si>
  <si>
    <t>FEAT_SERVER_VNC_SmallFB_Scaling_Down</t>
  </si>
  <si>
    <t>FEAT_SERVER_VNC_LargeFB_Scaling_Down</t>
  </si>
  <si>
    <t>Server Framebuffer Size</t>
  </si>
  <si>
    <t>SBP Command Sequences</t>
  </si>
  <si>
    <t>SBP Services</t>
  </si>
  <si>
    <t>0.6.4</t>
  </si>
  <si>
    <t>0.6.1</t>
  </si>
  <si>
    <t>Updated versioon</t>
  </si>
  <si>
    <t>0.6.3</t>
  </si>
  <si>
    <t>Moved SBP elements into CDB Source and Sink endpoint</t>
  </si>
  <si>
    <t>0.6.5</t>
  </si>
  <si>
    <t>Fixed export bug that prevented export of client data.</t>
  </si>
  <si>
    <t>CDB Client Endpoint</t>
  </si>
  <si>
    <t>CDB Server Endpoint</t>
  </si>
  <si>
    <t>ARGB 888 Big Endian</t>
  </si>
  <si>
    <t>ARGB 888 Little Endian</t>
  </si>
  <si>
    <t>RGB 888 Little Endian</t>
  </si>
  <si>
    <t>RGB 888 Big Endian</t>
  </si>
  <si>
    <t>FEAT_CLIENT_VNC_ARGB_888_Little_Endian</t>
  </si>
  <si>
    <t>FEAT_CLIENT_VNC_ARGB_888_Big_Endian</t>
  </si>
  <si>
    <t>FEAT_CLIENT_VNC_RGB_888_Little_Endian</t>
  </si>
  <si>
    <t>FEAT_CLIENT_VNC_RGB_888_Big_Endian</t>
  </si>
  <si>
    <t>FEAT_CLIENT_VNC_RGB_565_Little_Endian</t>
  </si>
  <si>
    <t>FEAT_CLIENT_VNC_RGB_565_Big_Endian</t>
  </si>
  <si>
    <t>FEAT_CLIENT_VNC_ARGB_555_Little_Endian</t>
  </si>
  <si>
    <t>FEAT_CLIENT_VNC_ARGB_555_Big_Endian</t>
  </si>
  <si>
    <t>FEAT_CLIENT_VNC_RGB_444_Little_Endian</t>
  </si>
  <si>
    <t>FEAT_CLIENT_VNC_RGB_444_Big_Endian</t>
  </si>
  <si>
    <t>FEAT_CLIENT_VNC_RGB_343_Little_Endian</t>
  </si>
  <si>
    <t>FEAT_CLIENT_VNC_16bit_Greyscale_Little_Endian</t>
  </si>
  <si>
    <t>FEAT_CLIENT_VNC_8bit_Greyscale_Little_Endian</t>
  </si>
  <si>
    <t>FEAT_CLIENT_VNC_RGB_343_Big_Endian</t>
  </si>
  <si>
    <t>FEAT_CLIENT_VNC_16bit_Greyscale_Big_Endian</t>
  </si>
  <si>
    <t>FEAT_CLIENT_VNC_8bit_Greyscale_Big_Endian</t>
  </si>
  <si>
    <t>RGB 565 Little Endian</t>
  </si>
  <si>
    <t>RGB 565 Big Endian</t>
  </si>
  <si>
    <t>ARGB 555 Little Endian</t>
  </si>
  <si>
    <t>ARGB 555 Big Endian</t>
  </si>
  <si>
    <t>RGB 444 Little Endian</t>
  </si>
  <si>
    <t>RGB 444 Big Endian</t>
  </si>
  <si>
    <t>RGB 343 Little Endian</t>
  </si>
  <si>
    <t>RGB 343 Big Endian</t>
  </si>
  <si>
    <t>16 bit greyscale Big Endian</t>
  </si>
  <si>
    <t>16 bit greyscale Little Endian</t>
  </si>
  <si>
    <t>8 bit greyscale Little Endian</t>
  </si>
  <si>
    <t>8 bit greyscale Big Endian</t>
  </si>
  <si>
    <t>Virtual Keyboard</t>
  </si>
  <si>
    <t>FEAT_CLIENT_VNC_VirtualKeyboard</t>
  </si>
  <si>
    <t>FEAT_CLIENT_VNC_VirtualKeyboard_Text</t>
  </si>
  <si>
    <t>FEAT_CLIENT_AUDIO_RTP_Client</t>
  </si>
  <si>
    <t>FEAT_SERVER_DAP_Device_Attestation</t>
  </si>
  <si>
    <t>FEAT_SERVER_CDB</t>
  </si>
  <si>
    <t>FEAT_CLIENT_CDB</t>
  </si>
  <si>
    <t>Notes</t>
  </si>
  <si>
    <t>ExportPICStoXML</t>
  </si>
  <si>
    <t>ExportPICSTree</t>
  </si>
  <si>
    <t>LibreExportPICStoXML</t>
  </si>
  <si>
    <t>LibreExportPICSTree</t>
  </si>
  <si>
    <t>0.6.7</t>
  </si>
  <si>
    <t>Revised export macros to allow for use in LibreOffice. Revised PICS as well.</t>
  </si>
  <si>
    <t>0.6.8</t>
  </si>
  <si>
    <t>Driver Distraction Avoidance</t>
  </si>
  <si>
    <t>Added features in the 1.1.1 draft specifications. Content Rules -&gt; Driver Distraction Avoidance</t>
  </si>
  <si>
    <t>0.6.9</t>
  </si>
  <si>
    <t>Changed obligation status for X11 keys, Bell and</t>
  </si>
  <si>
    <t>FEAT_CLIENT_Connectivity</t>
  </si>
  <si>
    <t>FEAT_CLIENT_USB_USB_Device</t>
  </si>
  <si>
    <t>FEAT_CLIENT_USB_Usb20</t>
  </si>
  <si>
    <t>FEAT_CLIENT_DHCP_DhcpClient</t>
  </si>
  <si>
    <t>FEAT_CLIENT_IPv4</t>
  </si>
  <si>
    <t>FEAT_CLIENT_IPv4_UDP</t>
  </si>
  <si>
    <t>FEAT_CLIENT_IPv4_TCP</t>
  </si>
  <si>
    <t>FEAT_CLIENT_VNC_DisplayOutputAndControlInput</t>
  </si>
  <si>
    <t>FEAT_CLIENT_VNC_SupportedProtocolVersions</t>
  </si>
  <si>
    <t>FEAT_CLIENT_VNC_RFB38</t>
  </si>
  <si>
    <t>FEAT_CLIENT_VNC_SupportedSecurityTypes</t>
  </si>
  <si>
    <t>FEAT_CLIENT_VNC_None</t>
  </si>
  <si>
    <t>FEAT_CLIENT_VNC_SupportedPixelFormats</t>
  </si>
  <si>
    <t>FEAT_CLIENT_VNC_FramebufferUpdate</t>
  </si>
  <si>
    <t>FEAT_CLIENT_VNC_NonIncrementalFullUpdates</t>
  </si>
  <si>
    <t>FEAT_CLIENT_VNC_Encodings</t>
  </si>
  <si>
    <t>FEAT_CLIENT_VNC_Pseudo_Mirrorlink_Encoding</t>
  </si>
  <si>
    <t>FEAT_CLIENT_VNC_Pseudo_Context_Information_Encoding</t>
  </si>
  <si>
    <t>FEAT_CLIENT_VNC_SupportedKeyEvents</t>
  </si>
  <si>
    <t>FEAT_CLIENT_VNC_Handshake_and_Initialization</t>
  </si>
  <si>
    <t>FEAT_CLIENT_VNC_Protocol_Handshake</t>
  </si>
  <si>
    <t>FEAT_CLIENT_VNC_SecurityTypeSelection</t>
  </si>
  <si>
    <t>FEAT_CLIENT_VNC_Init</t>
  </si>
  <si>
    <t>FEAT_CLIENT_VNC_SetEncodings</t>
  </si>
  <si>
    <t>FEAT_CLIENT_VNC_ClientDisplayConfiguration</t>
  </si>
  <si>
    <t>FEAT_CLIENT_VNC_ClientEventConfiguration</t>
  </si>
  <si>
    <t>FEAT_CLIENT_VNC_MessagesBasic</t>
  </si>
  <si>
    <t>FEAT_CLIENT_VNC_FB_Update_Request</t>
  </si>
  <si>
    <t>FEAT_CLIENT_VNC_KeyEvent</t>
  </si>
  <si>
    <t>FEAT_CLIENT_VNC_MessagesMirrorLinkOperation</t>
  </si>
  <si>
    <t>FEAT_CLIENT_AUDIO_RTP_Client_Type99</t>
  </si>
  <si>
    <t>FEAT_CLIENT_UPnP</t>
  </si>
  <si>
    <t>FEAT_CLIENT_UPnP_AppServer</t>
  </si>
  <si>
    <t>FEAT_CLIENT_UPNP_Server_Services</t>
  </si>
  <si>
    <t>FEAT_CLIENT_UPnP_GetApplicationList</t>
  </si>
  <si>
    <t>FEAT_CLIENT_UPnP_LaunchApplication</t>
  </si>
  <si>
    <t>FEAT_CLIENT_SBP_Source_Command</t>
  </si>
  <si>
    <t>FEAT_CLIENT_SBP_Source_Command_Get</t>
  </si>
  <si>
    <t>FEAT_CLIENT_SBP_Source_Command_Set</t>
  </si>
  <si>
    <t>FEAT_CLIENT_SBP_Source_Command_Subscribe</t>
  </si>
  <si>
    <t>FEAT_CLIENT_SBP_Source_Command_Cancel</t>
  </si>
  <si>
    <t>FEAT_CLIENT_SBP_Source_Command_AliveRequest</t>
  </si>
  <si>
    <t>FEAT_CLIENT_SBP_Source_Command_AliveResponse</t>
  </si>
  <si>
    <t>FEAT_CLIENT_SBP_Source_Command_Auth_Challenge</t>
  </si>
  <si>
    <t>FEAT_CLIENT_SBP_Source_Command_Auth_Response</t>
  </si>
  <si>
    <t>FEAT_CLIENT_SBP_Source_Command_Response</t>
  </si>
  <si>
    <t>FEAT_CLIENT_SBP_Source_Services</t>
  </si>
  <si>
    <t>FEAT_CLIENT_SBP_Source_Services_GPS</t>
  </si>
  <si>
    <t>FEAT_CLIENT_SBP_Source_Services_Location</t>
  </si>
  <si>
    <t>FEAT_CLIENT_SBP_Sink_Command</t>
  </si>
  <si>
    <t>FEAT_CLIENT_SBP_Sink_Command_Get</t>
  </si>
  <si>
    <t>FEAT_CLIENT_SBP_Sink_Command_Set</t>
  </si>
  <si>
    <t>FEAT_CLIENT_SBP_Sink_Command_Subscribe</t>
  </si>
  <si>
    <t>FEAT_CLIENT_SBP_Sink_Command_Cancel</t>
  </si>
  <si>
    <t>FEAT_CLIENT_SBP_Sink_Command_AliveRequest</t>
  </si>
  <si>
    <t>FEAT_CLIENT_SBP_Sink_Command_AliveResponse</t>
  </si>
  <si>
    <t>FEAT_CLIENT_SBP_Sink_Command_Auth_Challenge</t>
  </si>
  <si>
    <t>FEAT_CLIENT_SBP_Sink_Command_Auth_Response</t>
  </si>
  <si>
    <t>FEAT_CLIENT_SBP_Sink_Command_Response</t>
  </si>
  <si>
    <t>FEAT_CLIENT_SBP_Sink_Services</t>
  </si>
  <si>
    <t>FEAT_CLIENT_SBP_Sink_Services_GPS</t>
  </si>
  <si>
    <t>FEAT_CLIENT_SBP_Sink_Services_Location</t>
  </si>
  <si>
    <t>FEAT_SERVER_Connectivity</t>
  </si>
  <si>
    <t>FEAT_SERVER_USB_USB_Device</t>
  </si>
  <si>
    <t>FEAT_SERVER_USB_Usb20</t>
  </si>
  <si>
    <t>FEAT_SERVER_USB_MLCommand</t>
  </si>
  <si>
    <t>FEAT_SERVER_DHCP_DhcpServer</t>
  </si>
  <si>
    <t>FEAT_SERVER_IPv4</t>
  </si>
  <si>
    <t>FEAT_SERVER_IPv4_TCP</t>
  </si>
  <si>
    <t>FEAT_SERVER_IPv4_UDP</t>
  </si>
  <si>
    <t>FEAT_SERVER_VNC_DisplayOutputAndControlInput</t>
  </si>
  <si>
    <t>FEAT_SERVER_VNC_SupportedProtocolVersions</t>
  </si>
  <si>
    <t>FEAT_SERVER_VNC_RFB38</t>
  </si>
  <si>
    <t>FEAT_SERVER_VNC_SupportedSecurityTypes</t>
  </si>
  <si>
    <t>FEAT_SERVER_VNC_None</t>
  </si>
  <si>
    <t>FEAT_SERVER_VNC_SupportedPixelFormats</t>
  </si>
  <si>
    <t>FEAT_SERVER_VNC_ARGB_888</t>
  </si>
  <si>
    <t>FEAT_SERVER_VNC_RGB_565</t>
  </si>
  <si>
    <t>FEAT_SERVER_VNC_FramebufferUpdate</t>
  </si>
  <si>
    <t>FEAT_SERVER_VNC_NonIncrementalFullUpdates</t>
  </si>
  <si>
    <t>FEAT_SERVER_VNC_NonIncrementalPartialUpdates</t>
  </si>
  <si>
    <t>FEAT_SERVER_VNC_Encodings</t>
  </si>
  <si>
    <t>FEAT_SERVER_VNC_Pseudo_Mirrorlink_Encoding</t>
  </si>
  <si>
    <t>FEAT_SERVER_VNC_Pseudo_Context_Information_Encoding</t>
  </si>
  <si>
    <t>FEAT_SERVER_VNC_SupportedKeyEvents</t>
  </si>
  <si>
    <t>FEAT_SERVER_VNC_Handshake_and_Initialization</t>
  </si>
  <si>
    <t>FEAT_SERVER_VNC_Protocol_Handshake</t>
  </si>
  <si>
    <t>FEAT_SERVER_VNC_ServerDisplayConfiguration</t>
  </si>
  <si>
    <t>FEAT_SERVER_VNC_ServerEventConfiguration</t>
  </si>
  <si>
    <t>FEAT_SERVER_VNC_SetEncodings</t>
  </si>
  <si>
    <t>FEAT_SERVER_VNC_SecurityTypeSelection</t>
  </si>
  <si>
    <t>FEAT_SERVER_VNC_Init</t>
  </si>
  <si>
    <t>FEAT_SERVER_VNC_MessagesBasic</t>
  </si>
  <si>
    <t>FEAT_SERVER_VNC_FB_Update_Request</t>
  </si>
  <si>
    <t>FEAT_SERVER_VNC_KeyEvent</t>
  </si>
  <si>
    <t>FEAT_SERVER_VNC_MessagesMirrorLinkOperation</t>
  </si>
  <si>
    <t>FEAT_SERVER_VNC_EventMapping</t>
  </si>
  <si>
    <t>FEAT_SERVER_VNC_DeviceStatus</t>
  </si>
  <si>
    <t>FEAT_SERVER_AUDIO_RTP</t>
  </si>
  <si>
    <t>FEAT_SERVER_AUDIO_RTP_Server</t>
  </si>
  <si>
    <t>FEAT_SERVER_AUDIO_RTP_Server_Type99</t>
  </si>
  <si>
    <t>FEAT_SERVER_UPnP_UPnPServiceNegotiation</t>
  </si>
  <si>
    <t>FEAT_SERVER_UPnP_ApplicationServerService</t>
  </si>
  <si>
    <t>FEAT_SERVER_UPnP_ApplicationServerServiceEventedStateVariables</t>
  </si>
  <si>
    <t>FEAT_SERVER_UPnP_ApplicationServerServiceActions</t>
  </si>
  <si>
    <t>FEAT_SERVER_UPnP_GetApplicationList</t>
  </si>
  <si>
    <t>FEAT_SERVER_UPnP_LaunchApplication</t>
  </si>
  <si>
    <t>FEAT_SERVER_UPnP_GetApplicationStatus</t>
  </si>
  <si>
    <t>FEAT_SERVER_UPnP_TerminateApplication</t>
  </si>
  <si>
    <t>FEAT_SERVER_UPnP_GetCertifiedApplicationsList</t>
  </si>
  <si>
    <t>FEAT_SERVER_UPnP_GetAppCertificationStatus</t>
  </si>
  <si>
    <t>FEAT_SERVER_UPnP_GetApplicationCertificateInfo</t>
  </si>
  <si>
    <t>FEAT_SERVER_UPnP_ClientProfileService</t>
  </si>
  <si>
    <t>FEAT_SERVER_UPnP_ClientProfileServiceEventedStateVariables</t>
  </si>
  <si>
    <t>FEAT_SERVER_UPnP_ClientProfileServiceActions</t>
  </si>
  <si>
    <t>FEAT_SERVER_UPnP_GetMaxNumProfiles</t>
  </si>
  <si>
    <t>FEAT_SERVER_UPnP_SetClientProfile</t>
  </si>
  <si>
    <t>FEAT_SERVER_UPnP_GetClientProfile</t>
  </si>
  <si>
    <t>FEAT_SERVER_UPNP_Notification_Service_InvokeVncAction</t>
  </si>
  <si>
    <t>FEAT_SERVER_UPnP_ServerDevice</t>
  </si>
  <si>
    <t>FEAT_SERVER_DAP_Device</t>
  </si>
  <si>
    <t>FEAT_SERVER_SBP_Source_Command</t>
  </si>
  <si>
    <t>FEAT_SERVER_SBP_Source_Command_Get</t>
  </si>
  <si>
    <t>FEAT_SERVER_SBP_Source_Command_Set</t>
  </si>
  <si>
    <t>FEAT_SERVER_SBP_Source_Command_Subscribe</t>
  </si>
  <si>
    <t>FEAT_SERVER_SBP_Source_Command_Cancel</t>
  </si>
  <si>
    <t>FEAT_SERVER_SBP_Source_Command_AliveRequest</t>
  </si>
  <si>
    <t>FEAT_SERVER_SBP_Source_Command_AliveResponse</t>
  </si>
  <si>
    <t>FEAT_SERVER_SBP_Source_Command_Auth_Challenge</t>
  </si>
  <si>
    <t>FEAT_SERVER_SBP_Source_Command_Auth_Response</t>
  </si>
  <si>
    <t>FEAT_SERVER_SBP_Source_Command_Response</t>
  </si>
  <si>
    <t>FEAT_SERVER_SBP_Source_Services</t>
  </si>
  <si>
    <t>FEAT_SERVER_SBP_Source_Services_GPS</t>
  </si>
  <si>
    <t>FEAT_SERVER_SBP_Source_Services_Location</t>
  </si>
  <si>
    <t>FEAT_SERVER_SBP_Sink_Command</t>
  </si>
  <si>
    <t>FEAT_SERVER_SBP_Sink_Command_Get</t>
  </si>
  <si>
    <t>FEAT_SERVER_SBP_Sink_Command_Set</t>
  </si>
  <si>
    <t>FEAT_SERVER_SBP_Sink_Command_Subscribe</t>
  </si>
  <si>
    <t>FEAT_SERVER_SBP_Sink_Command_Cancel</t>
  </si>
  <si>
    <t>FEAT_SERVER_SBP_Sink_Command_AliveRequest</t>
  </si>
  <si>
    <t>FEAT_SERVER_SBP_Sink_Command_AliveResponse</t>
  </si>
  <si>
    <t>FEAT_SERVER_SBP_Sink_Command_Auth_Challenge</t>
  </si>
  <si>
    <t>FEAT_SERVER_SBP_Sink_Command_Auth_Response</t>
  </si>
  <si>
    <t>FEAT_SERVER_SBP_Sink_Command_Response</t>
  </si>
  <si>
    <t>FEAT_SERVER_SBP_Sink_Services</t>
  </si>
  <si>
    <t>FEAT_SERVER_SBP_Sink_Services_GPS</t>
  </si>
  <si>
    <t>FEAT_SERVER_SBP_Sink_Services_Location</t>
  </si>
  <si>
    <t>0.7.0</t>
  </si>
  <si>
    <t>Used Comarch's updated XML tag fields, that filled in XML tags for all fields.</t>
  </si>
  <si>
    <t>Client Framebuffer &gt; 1024x600</t>
  </si>
  <si>
    <t>FEAT_CLIENT_VNC_Framebuffer_Huge</t>
  </si>
  <si>
    <t>FEAT_CLIENT_VNC_Scaling_HugeDown</t>
  </si>
  <si>
    <t>Invoke VNC Action</t>
  </si>
  <si>
    <t>Support Manual Orientation Change</t>
  </si>
  <si>
    <t>Handle Clients with smaller FB resolutions</t>
  </si>
  <si>
    <t>Server Framebuffer exceeds 1024x600</t>
  </si>
  <si>
    <t>FB Down-Scaling support</t>
  </si>
  <si>
    <t>Handle Clients with bigger FB resolutions</t>
  </si>
  <si>
    <t>FB Up-Scaling support</t>
  </si>
  <si>
    <t>FEAT_SERVER_VNC_Framebuffer_Huge</t>
  </si>
  <si>
    <t>FEAT_SERVER_VNC_HugeFB_Scaling_Down</t>
  </si>
  <si>
    <t>FEAT_SERVER_VNC_Framebuffer_Smaller</t>
  </si>
  <si>
    <t>FEAT_SERVER_VNC_Framebuffer_Bigger</t>
  </si>
  <si>
    <t>Ed Pichon/Jörg Brakensiek</t>
  </si>
  <si>
    <t>0.7.1</t>
  </si>
  <si>
    <t>Changed a few XML tags.</t>
  </si>
  <si>
    <t>FEAT_CLIENT_CDC_NCM_Support</t>
  </si>
  <si>
    <t>FEAT_CLIENT_VNC_Driver_Distraction_Avoidance</t>
  </si>
  <si>
    <t>FEAT_CLIENT_VNC_Scaling_Up_Large</t>
  </si>
  <si>
    <t>FEAT_CLIENT_VNC_Scaling_LargeLargeDown</t>
  </si>
  <si>
    <t>FEAT_CLIENT_VNC_Scaling_Up_Small</t>
  </si>
  <si>
    <t>FEAT_CLIENT_VNC_Scaling_SmallLargeDown</t>
  </si>
  <si>
    <t>FEAT_SERVER_VNC_BlockNotification</t>
  </si>
  <si>
    <t>FEAT_SERVER_VNC_Driver_Distraction_Avoidance</t>
  </si>
  <si>
    <t>0.7.2</t>
  </si>
  <si>
    <t>Category</t>
  </si>
  <si>
    <t>PIXIT ID</t>
  </si>
  <si>
    <t>Pixit Tag</t>
  </si>
  <si>
    <t>Prompt to Tester</t>
  </si>
  <si>
    <t>General</t>
  </si>
  <si>
    <t>How to connect the device either via USB, via Wifi or any other TCP based connection and establish a MirrorLink connection</t>
  </si>
  <si>
    <t>How to unlock the device in order to interact with it manually during a MirrorLink session</t>
  </si>
  <si>
    <t>How to prepare the device to support RTP payload type 0</t>
  </si>
  <si>
    <t>How to prepare the device to support RTP payload type 98</t>
  </si>
  <si>
    <t>How to prepare the device to support RTP payload type 99</t>
  </si>
  <si>
    <t>How to prepare a single music track to be used during the test session</t>
  </si>
  <si>
    <t>How to prepare three music tracks to be used during the test session</t>
  </si>
  <si>
    <t>How to prepare the device to support key event listings</t>
  </si>
  <si>
    <t xml:space="preserve">Specify hexadecimal value of one of the supported high key symbol values (eg. Device_Home - 0x3000 020F) </t>
  </si>
  <si>
    <t>How to make sure that at least one launchable application is available</t>
  </si>
  <si>
    <t>How to prepare one application to be installable during the test session</t>
  </si>
  <si>
    <t>How to prepare a messaging application to be used during the test session</t>
  </si>
  <si>
    <t>How to prepare a music player application to be used during the test session</t>
  </si>
  <si>
    <t>How to prepare an application offering audio input to be used during the test session</t>
  </si>
  <si>
    <t>How to prepare the device to accept voice commands</t>
  </si>
  <si>
    <t>How to prepare an application with unknown trust level to be used</t>
  </si>
  <si>
    <t>How to make sure that at least one application offering a user interface is available</t>
  </si>
  <si>
    <t>How to prepare a navigation application to be used during the test session</t>
  </si>
  <si>
    <t>How to prepare a telephony application to be used during the test session</t>
  </si>
  <si>
    <t>How to exchange corresponding test certificates between DUT and REM (or CTS, respectively)</t>
  </si>
  <si>
    <t>How to evaluate the correct launching of the application</t>
  </si>
  <si>
    <t>How to enable CDC/NCM personality on DUT.</t>
  </si>
  <si>
    <t>How to make DUT bluetooth discoverable.</t>
  </si>
  <si>
    <t>How to ensure that DUT and local bluetooths are NOT paired. Please note that DUT bluetooth should be removed from local know bluetooth devices.</t>
  </si>
  <si>
    <t>How to enforce DUT to send ALIVE messages.</t>
  </si>
  <si>
    <t>How to start audio playback. After performing this step audio data from the RTP server is expected to be streamed.</t>
  </si>
  <si>
    <t>Video</t>
  </si>
  <si>
    <t>How to open an application that supports the gestures "PINCH" and "ZOOM IN" (eg. Gallery).</t>
  </si>
  <si>
    <t>What should be behavior of the application during the call gestures "PINCH" and "ZOOM IN".</t>
  </si>
  <si>
    <t>How to guarantee that a FramebufferUpdateRequest message is always answered with a FramebufferUpdate message.</t>
  </si>
  <si>
    <t>How to open a text box for text tests (i.e. letters, both X11 and Unicode capable) and control key tests (backspace, cursor movement, etc.)</t>
  </si>
  <si>
    <t>The server interprets an unclosed key press as multiple key presses (as with long key presses)</t>
  </si>
  <si>
    <t>How to start an application which is able to interpret the supported multimedia keys</t>
  </si>
  <si>
    <t>How to create a playlist in the multimedia player</t>
  </si>
  <si>
    <t>How to start playback in the multimedia player</t>
  </si>
  <si>
    <t>How to evaluate the correct behaviour of the supported device keys</t>
  </si>
  <si>
    <t>The supported knob configuration</t>
  </si>
  <si>
    <t>The number of additional function keys</t>
  </si>
  <si>
    <t>How to enable key event listing support and evaluate correct behaviour</t>
  </si>
  <si>
    <t>How to evaluate whether the screen saver is running</t>
  </si>
  <si>
    <t>How to identify the display orientation during a MirrorLink session</t>
  </si>
  <si>
    <t>How to evaluate whether the night mode is active</t>
  </si>
  <si>
    <t>How to evaluate whether the key lock is active</t>
  </si>
  <si>
    <t>How to evaluate whether the device lock is active</t>
  </si>
  <si>
    <t>How to evaluate whether the content rules features are enabled</t>
  </si>
  <si>
    <t>How to start an UI application</t>
  </si>
  <si>
    <t>How the screen of the ML server should look like after receiving a FramebufferBlockingNotification</t>
  </si>
  <si>
    <t>How to change the screen orientation of the server during the MirrorLink session manually</t>
  </si>
  <si>
    <t>How to evaluate whether the MirrorLink server switched back to the default screen orientation after receiving a FramebufferBlockingNotification with "UI Layout Not Supported" as reason</t>
  </si>
  <si>
    <t>How to start the framebuffer alternative text.</t>
  </si>
  <si>
    <t>UPnP Notification Service</t>
  </si>
  <si>
    <t>How to trigger notification from TmNotificationServer</t>
  </si>
  <si>
    <t>How to setup audio equipment and how to define the audio settings in order to hear audio streamed via RTP to the ML client</t>
  </si>
  <si>
    <t>How to find out which device keys are supported by the ML server</t>
  </si>
  <si>
    <t>How to terminate an application on the client</t>
  </si>
  <si>
    <t>How to launch an application on the client</t>
  </si>
  <si>
    <t>How to trigger a GetApplicationList UPnP action</t>
  </si>
  <si>
    <t>How to see the application list</t>
  </si>
  <si>
    <t>How to trigger a GetApplicationStatus UPnP action</t>
  </si>
  <si>
    <t>How to ensure DUT is subscribed to UnusedProfileIDs state variable in TmClientProfile service</t>
  </si>
  <si>
    <t>How to ensure DUT is subscribed to AppStatusUpdate state variable in TmApplicationServer service</t>
  </si>
  <si>
    <t>How to ensure DUT is subscribed to AppListUpdate state variable in TmApplicationServer service</t>
  </si>
  <si>
    <t>How to ensure that DUT enabled USB CDC/NCM mode</t>
  </si>
  <si>
    <t>How to set the audio volume to a sensible level</t>
  </si>
  <si>
    <t>How to ensure client uses given pixel format (16BitGray, 8BitGray, ARGB555, ARGB888, RGB343, RGB444, RGB565, RGB888)</t>
  </si>
  <si>
    <t>How to start (or restart) the VNC handshaking phase. It may work by first stopping all running VNC applications and then starting a new one. But it may also be necessary to disconnect (or even shut down) the head unit and then restart any VNC application.</t>
  </si>
  <si>
    <t>How to trigger pointer events</t>
  </si>
  <si>
    <t>How to enter key commands (lower-level ASCII keys and control commands as e.g. backspace).</t>
  </si>
  <si>
    <t>How to check which virtual keyboard keys are enabled</t>
  </si>
  <si>
    <t>How to trigger multimedia key events</t>
  </si>
  <si>
    <t>Which multimedia keys are available</t>
  </si>
  <si>
    <t>How to trigger additional function key events</t>
  </si>
  <si>
    <t>How to trigger EventMappingRequest messages</t>
  </si>
  <si>
    <t>How to trigger device key events</t>
  </si>
  <si>
    <t>Where to see the framebuffer alternative text</t>
  </si>
  <si>
    <t>How to use the knobs</t>
  </si>
  <si>
    <t>Which knob key commands are available</t>
  </si>
  <si>
    <t>Are ITU keys available</t>
  </si>
  <si>
    <t>How to enter ITU key commands</t>
  </si>
  <si>
    <t>How to use the virtual keyboard</t>
  </si>
  <si>
    <t>How to trigger a GetSupportedApplications UPnP action on TmNotificationServer service</t>
  </si>
  <si>
    <t>How to trigger a SetAllowedApplications UPnP action on TmNotificationServer service. Invoking SetAllowedApplication action should be preceded by invoking GetSupportedApplications action.</t>
  </si>
  <si>
    <t>How to ensure that control point is subscribed to ActiveNotiEvent state varibale from TmNotificationServer service.</t>
  </si>
  <si>
    <t>How to perform necessary steps to handle notification from TmNotificationServer service. When control point got ActiveNotiEvent notification it should invoke GetNotification and InvokeNotiAction UPnP actions. If required control point should launch suitable application and show notification UI.</t>
  </si>
  <si>
    <t>UPnP Certification</t>
  </si>
  <si>
    <t>How to trigger a GetCertifiedApplicationsList UPnP action on TmApplicationServer service</t>
  </si>
  <si>
    <t>How to trigger a GetAppCertificationStatus UPnP action on TmApplicationServer service</t>
  </si>
  <si>
    <t>How to trigger a GetApplicationCertificateInfo UPnP action on TmApplicationServer service</t>
  </si>
  <si>
    <t>UPnP Client service</t>
  </si>
  <si>
    <t>How to trigger a GetMaxNumProfiles UPnP action on TmClientProfile service</t>
  </si>
  <si>
    <t>UPnP Discovery</t>
  </si>
  <si>
    <t>How to re-discover UPnP devices. Sometimes restarting DUT may be necessary.</t>
  </si>
  <si>
    <t>List of supported subscription types per provided SBP service</t>
  </si>
  <si>
    <t>ExportPIXITtoXML</t>
  </si>
  <si>
    <t>LibreExportPIXITtoXML</t>
  </si>
  <si>
    <t>PICS Instructions</t>
  </si>
  <si>
    <t>Removed PIXIT information from PICS sheets. Added PIXIT worksheets and export routines. Updated the instructions</t>
  </si>
  <si>
    <t>What is DUT manufacturer and modelName?</t>
  </si>
  <si>
    <t>0.7.3</t>
  </si>
  <si>
    <t>Added references in the PIXIT forms to indicate if a feature has been not implemented and a prompt is not needed.</t>
  </si>
  <si>
    <t>0.7.4</t>
  </si>
  <si>
    <t>Added several additional device description fields to the identification worksheet.</t>
  </si>
  <si>
    <t>NCM Mode USB Product ID (0xHHHH)</t>
  </si>
  <si>
    <t>USB Product ID (0xHHHH)</t>
  </si>
  <si>
    <t>USB Vendor ID (0xHHHH)</t>
  </si>
  <si>
    <t>0.7.5</t>
  </si>
  <si>
    <t>Minor changes to XML export. Last version for a while, honest!</t>
  </si>
  <si>
    <t>0.7.6</t>
  </si>
  <si>
    <t>Fixed XML export bug. Added protections to sheets. Non-user elements of sheet are now protected, and marked in blue. Changed names of PICS sheets.</t>
  </si>
  <si>
    <t>This workbook contains both the Product Implementation Conformance Statement (PICS) and the Protocol Implementation Extra Information for Testing (PIXIT) about a single device. It should be filled out by the device manufacturer and included along as part of the submission for certification.</t>
  </si>
  <si>
    <t>Also included within the workbook are several export macros (described below) for creating XML files for use by the CTS.</t>
  </si>
  <si>
    <t>Document Description</t>
  </si>
  <si>
    <t>Ref Docs &amp; Notes</t>
  </si>
  <si>
    <t>Summary information and version information about the workbook.</t>
  </si>
  <si>
    <t>Instructions</t>
  </si>
  <si>
    <t>This worksheet. Contains description information and instructions on proper use.</t>
  </si>
  <si>
    <t>Identification</t>
  </si>
  <si>
    <t>Descriptive information about the device described by this workbook. Note: Blue cells are read-only.</t>
  </si>
  <si>
    <t>Client PICS</t>
  </si>
  <si>
    <t>PICS for MirrorLink™ client devices. Note: Blue cells are read-only.</t>
  </si>
  <si>
    <t>Server PICS</t>
  </si>
  <si>
    <t>PICS for MirrorLink™ server devices. Note: Blue cells are read-only.</t>
  </si>
  <si>
    <t>Worksheet Summary</t>
  </si>
  <si>
    <t>Client PIXIT</t>
  </si>
  <si>
    <t>PIXIT for MirrorLink™ client devices. Note: Blue cells are read-only.</t>
  </si>
  <si>
    <t>Server PIXIT</t>
  </si>
  <si>
    <t>PIXIT for MirrorLink™ server devices. Note: Blue cells are read-only.</t>
  </si>
  <si>
    <t>Additional Comments</t>
  </si>
  <si>
    <t>A place to put any additional information about the device.</t>
  </si>
  <si>
    <t>A Note About Read-Only Protection</t>
  </si>
  <si>
    <r>
      <t xml:space="preserve">The Identifciation, PICS and PIXIT worksheets have been protected so that only certain cells are read-only. Read-only cells are marked with </t>
    </r>
    <r>
      <rPr>
        <sz val="12"/>
        <color rgb="FF000090"/>
        <rFont val="Calibri"/>
        <scheme val="minor"/>
      </rPr>
      <t>blue text and a grey background</t>
    </r>
    <r>
      <rPr>
        <sz val="12"/>
        <color theme="1"/>
        <rFont val="Calibri"/>
        <family val="2"/>
        <scheme val="minor"/>
      </rPr>
      <t>, and users of this workbook should not need to modify these cells. If you need to make a change to a protected cell, you must unprotect the worksheet (Tools-&gt;Protection-&gt;Unprotect Sheet) first.</t>
    </r>
  </si>
  <si>
    <t>Identification Worksheet</t>
  </si>
  <si>
    <t>The identification worksheet is where descriptive information about the device that the PICS and PIXIT worksheets apply to. The information contained here is included in the PICS and PIXIT export XML files. Make sure to correctly select the "Server" or "Client" option for the "Role", as the export functions use that entry to determine which worksheets to export.</t>
  </si>
  <si>
    <t>The information provided here is used by the CTS to determine which which test cases apply to the described device.</t>
  </si>
  <si>
    <t>PIXIT Instructions</t>
  </si>
  <si>
    <t>For your convenience, if the relevant feature is not implemented in the PIXIT, the "Feature Not Implemented" column will indicate "Not Implemented" if no prompt is needed. (Note: this is for reference only, and there may be some errors in the reference functions.)</t>
  </si>
  <si>
    <t>The various export macros can be run from this worksheet. See below for further information.</t>
  </si>
  <si>
    <t>The CTS uses an XML version of this PICS file. For your convenience, the PICS information can be exported to an XML file that can be used by the CTS. The export can be executed by clicking on the "Export PICS to XML" button on the Identification worksheet. See below for further information.</t>
  </si>
  <si>
    <t>An export to XML macro is provided for the PIXIT information, that can be executed from the Identification worksheet. At this time, the CTS does NOT use this file. See below for further information.</t>
  </si>
  <si>
    <t>The supplier of the implementation shall complete the PIXIT information to assist testers in operating the described device. For each prompt, provide instructions on how to operate the device to perform the task in question. Prompts for unsupported features can be left blank. Testers will be instructed by the CTS to view the PIXIT worksheets during testing.</t>
  </si>
  <si>
    <t>XML Export Instructions</t>
  </si>
  <si>
    <t>Excel's native XML file format is not usable by the CTS, so we have provided several export routines to create XML files that can be used by the CTS. They can be run by using the buttons on the Identification worksheet.</t>
  </si>
  <si>
    <t>This exports the information in the PICS worksheets (client or server, based on the Role entry on the Identification worksheet) to an XML that can be used by the CTS.</t>
  </si>
  <si>
    <t>Export PICS to XML</t>
  </si>
  <si>
    <t>Export PIXIT to XML</t>
  </si>
  <si>
    <t>This exports the information in the PIXIT worksheets (client or server, based on the Role entry on the Identification worksheet). Eventually, the CTS will use this file to directly prompt the user, but this has not been implemented yet.</t>
  </si>
  <si>
    <t>Obligation Key</t>
  </si>
  <si>
    <t>The supplier of the implementation shall complete the PICS pro-forma requested information in the space provided.  All implementations shall complete the "Identification" Tab.  Client Implementations shall complete the "Client" worksheet.  Server Implementations shall complete the "Server" worksheet. Each feature must have the "Implementation Support" element set to "Yes" or "No". The Obligation column entry for a given feature indicates whether or not the device must support the feature, as described here:</t>
  </si>
  <si>
    <t>This macro exports the information in the client or server PICS worksheets (based on the value in the Role cell above) into an XML file usable by the CTS.</t>
  </si>
  <si>
    <t>This macro exports the information in the client or server PIXIT worksheets (based on the value in the Role cell above) into an XML file.</t>
  </si>
  <si>
    <t>Button Name</t>
  </si>
  <si>
    <t>The macros are designed to be executable on Windows, OSX versions of Office, as well as LibreOffice. The LibreOffice macros cannot be run from the buttons on the Identification tab, and must be run directly. In OSX, you must manually select "XML" as the file type.</t>
  </si>
  <si>
    <t>Mac OSX Users: You must manually select XML as the output file type - the file dialog calls are broken in Office 2011.</t>
  </si>
  <si>
    <t>Libre Office Users: The LibreOffice macros cannot be run from the buttons on the Identification tab, and must be run directly using the macros named Libre*. The file dialogues are not implemented - they just dump a file automatically.</t>
  </si>
  <si>
    <t>Export the PICS feature trees for use by the CTS.</t>
  </si>
  <si>
    <t>Worksheet Name</t>
  </si>
  <si>
    <t>Export the device's PICS features listing for use by the CTS. Called by "Export PICS to XML" button.</t>
  </si>
  <si>
    <t>Export the device's PIXIT information listing. Called by "Export PIXIT to XML" button.</t>
  </si>
  <si>
    <t>LibreOffice version of ExportPIXITTree. Puts file in home directory as PIXIT_Export.xml. Delete existing PIXIT_Export.xml prior to running!</t>
  </si>
  <si>
    <t>LibreOffice version of ExportPICStoXML. Export PICS file to XML for use by CTS. Puts file in home directory as PICS_Export.xml. Delete existing PICS_Export.xml prior to running!</t>
  </si>
  <si>
    <t>LibreOffice version of ExportPICSTree. Export PICS tre to XML for use by CTS. Puts file in home directory as PICS_Tree.xml. Delete existing PICS_Tree.xml prior to running!</t>
  </si>
  <si>
    <t>Macro Name</t>
  </si>
  <si>
    <t>0.7.7</t>
  </si>
  <si>
    <t>Test Case</t>
  </si>
  <si>
    <t>Specification Version</t>
  </si>
  <si>
    <t>Feature 1</t>
  </si>
  <si>
    <t>Boolean</t>
  </si>
  <si>
    <t>Feature 2</t>
  </si>
  <si>
    <t>Feature 3</t>
  </si>
  <si>
    <t>Feature 4</t>
  </si>
  <si>
    <t>SR/CON/USB/UsbDeviceConnect</t>
    <phoneticPr fontId="6" type="noConversion"/>
  </si>
  <si>
    <t>SR/CON/USB/UsbVendorIdProductId</t>
    <phoneticPr fontId="6" type="noConversion"/>
  </si>
  <si>
    <t>SR/CON/USB/Usb20</t>
  </si>
  <si>
    <t>SR/CON/USB/MLCommand</t>
    <phoneticPr fontId="6" type="noConversion"/>
  </si>
  <si>
    <t>9-1.1.1</t>
  </si>
  <si>
    <t>SR/CON/USB/MLCommandAutomaticSwitch</t>
    <phoneticPr fontId="6" type="noConversion"/>
  </si>
  <si>
    <t>SR/CON/USB/MLCommandManualSwitch</t>
  </si>
  <si>
    <t>SR/CON/DHCP/USB/ServerAvailability</t>
  </si>
  <si>
    <t>SR/CON/DHCP/USB/ValidIpAddressRange</t>
  </si>
  <si>
    <t>SR/CON/DHCP/USB/ValidIpNetmask</t>
  </si>
  <si>
    <t>SR/CON/DHCP/WLAN/ServerAvailability</t>
  </si>
  <si>
    <t>SR/CON/DHCP/WLAN/ValidIpAddressRange</t>
  </si>
  <si>
    <t>SR/CON/DHCP/WLAN/ValidIpNetmask</t>
  </si>
  <si>
    <t>SR/CON/UPnP/DeviceManufacturerAndModelName</t>
  </si>
  <si>
    <t>SR/VNC/HS/TcpConnect</t>
  </si>
  <si>
    <t>SR/VNC/HS/TcpReconnect</t>
  </si>
  <si>
    <t>SR/VNC/HS/ValidVersion</t>
  </si>
  <si>
    <t>SR/VNC/HS/SecurityTypeSupport</t>
  </si>
  <si>
    <t>SR/VNC/HS/SecurityTypeResult</t>
  </si>
  <si>
    <t>SR/VNC/HS/InvalidVersion</t>
  </si>
  <si>
    <t>SR/VNC/HS/RejectUnsupportedSecurityType</t>
  </si>
  <si>
    <t>11-1.1.1</t>
  </si>
  <si>
    <t>SR/VNC/INIT/InitServer</t>
  </si>
  <si>
    <t>SR/VNC/INIT/ServerDisplayConfiguration</t>
  </si>
  <si>
    <t>SR/VNC/INIT/ServerEventConfiguration</t>
  </si>
  <si>
    <t>SR/VNC/INIT/ServerMirrorLinkInitialization</t>
  </si>
  <si>
    <t>SR/VNC/BASIC/NonIncrementalFullFbUpdate</t>
  </si>
  <si>
    <t>SR/VNC/BASIC/NonIncrementalPartialFbUpdate</t>
  </si>
  <si>
    <t>SR/VNC/BASIC/IncrementalFbUpdate</t>
  </si>
  <si>
    <t>SR/VNC/BASIC/ContextInformationPseudoEncoding</t>
  </si>
  <si>
    <t>SR/VNC/BASIC/ClientCutText</t>
  </si>
  <si>
    <t>SR/VNC/BASIC/PointerEvents</t>
  </si>
  <si>
    <t>SR/VNC/BASIC/X11KeyEvents</t>
  </si>
  <si>
    <t>SR/VNC/BASIC/IgnoreMultipleKeyUpEvents</t>
  </si>
  <si>
    <t>SR/VNC/BASIC/KeyPressAutoClosure</t>
  </si>
  <si>
    <t>SR/VNC/BASIC/UnknownMirrorLinkExtensionMessage</t>
  </si>
  <si>
    <t>SR/VNC/BASIC/UnknownMirrorLinkExtensionMessageSize</t>
    <phoneticPr fontId="6" type="noConversion"/>
  </si>
  <si>
    <t>SR/VNC/KEYMAP/KeyEventMappingSupport</t>
  </si>
  <si>
    <t>SR/VNC/KEYMAP/KeyEventMap</t>
  </si>
  <si>
    <t>SR/VNC/KEYMAP/ReMapAttempt</t>
    <phoneticPr fontId="6" type="noConversion"/>
  </si>
  <si>
    <t>SR/VNC/KEYMAP/ReMapVerification</t>
    <phoneticPr fontId="6" type="noConversion"/>
  </si>
  <si>
    <t>SR/VNC/KEYS/KnobShiftRotateKeys</t>
  </si>
  <si>
    <t>SR/VNC/KEYS/DeviceKeys</t>
  </si>
  <si>
    <t>SR/VNC/KEYS/MultimediaKeys</t>
  </si>
  <si>
    <t>SR/VNC/KEYS/FunctionKeys</t>
  </si>
  <si>
    <t>SR/VNC/VKB/VirtualKbSupport</t>
  </si>
  <si>
    <t>SR/VNC/VKB/TriggerWithoutTextEntry</t>
  </si>
  <si>
    <t>SR/VNC/VKB/TriggerWithTextEntry</t>
  </si>
  <si>
    <t>SR/VNC/VKB/NoTrigger</t>
  </si>
  <si>
    <t>SR/VNC/KEYLIST/KeyEventListingSupport</t>
  </si>
  <si>
    <t>SR/VNC/KEYLIST/DefaultList</t>
  </si>
  <si>
    <t>SR/VNC/KEYLIST/IncrementalList</t>
  </si>
  <si>
    <t>SR/VNC/KEYLIST/NonIncrementalList</t>
  </si>
  <si>
    <t>SR/VNC/DEVICE/DeviceStatusCheck</t>
  </si>
  <si>
    <t>SR/VNC/DEVICE/NightMode</t>
  </si>
  <si>
    <t>SR/VNC/DEVICE/ScreenSaver</t>
  </si>
  <si>
    <t>SR/VNC/DEVICE/DeviceLock</t>
  </si>
  <si>
    <t>SR/VNC/DEVICE/KeyLock</t>
  </si>
  <si>
    <t>SR/VNC/DEVICE/DriverDistractionAvoidance</t>
  </si>
  <si>
    <t>SR/VNC/DEVICE/FbOrientationSupport</t>
    <phoneticPr fontId="6" type="noConversion"/>
  </si>
  <si>
    <t>SR/VNC/DEVICE/FbOrientationSwitch</t>
  </si>
  <si>
    <t>SR/VNC/DEVICE/FbRotationSupport</t>
  </si>
  <si>
    <t>SR/VNC/DEVICE/FbRotationChange</t>
    <phoneticPr fontId="6" type="noConversion"/>
  </si>
  <si>
    <t>SR/VNC/FBALT/FbAlternativeTextSupport</t>
    <phoneticPr fontId="6" type="noConversion"/>
  </si>
  <si>
    <t>SR/VNC/FBALT/FbAlternativeText</t>
  </si>
  <si>
    <t>SR/VNC/FBALT/NoFbAlternativeText</t>
  </si>
  <si>
    <t>SR/VNC/BLOCK/FbBlockingNotification</t>
  </si>
  <si>
    <t>SR/VNC/BLOCK/FbBlockingUILayoutNotSupported</t>
  </si>
  <si>
    <t>SR/VNC/BLOCK/RtpBlockingNotification</t>
  </si>
  <si>
    <t>SR/VNC/BLOCK/RtpUnblockingNotification</t>
  </si>
  <si>
    <t>SR/VNC/TOUCH/TouchEventCheck</t>
  </si>
  <si>
    <t>SR/VNC/TOUCH/TouchEventGesture</t>
  </si>
  <si>
    <t>SR/VNC/DOWNSCALE/DownScalingCheck</t>
  </si>
  <si>
    <t>SR/VNC/DOWNSCALE/RequestOldFramebufferResolution</t>
  </si>
  <si>
    <t>SR/VNC/DOWNSCALE/NoClientSupport/ServerExceed800x480</t>
  </si>
  <si>
    <t>SR/VNC/DOWNSCALE/NoClientSupport/ServerWithin800x480</t>
  </si>
  <si>
    <t>SR/VNC/DOWNSCALE/NoClientSupport/DynamicClientDisplayConfig</t>
  </si>
  <si>
    <t>SR/VNC/DOWNSCALE/ClientSupport/ServerExceed800x480</t>
  </si>
  <si>
    <t>SR/VNC/DOWNSCALE/ClientSupport/ServerWithin800x480</t>
  </si>
  <si>
    <t>SR/VNC/DOWNSCALE/ClientSupport/DynamicClientDisplayConfig</t>
  </si>
  <si>
    <t>SR/VNC/UPSCALE/UpScalingCheck</t>
  </si>
  <si>
    <t>SR/VNC/UPSCALE/NoClientSupport/ServerWithin800x480</t>
  </si>
  <si>
    <t>SR/VNC/UPSCALE/ClientSupport/ServerWithin800x480</t>
  </si>
  <si>
    <t>SR/VNC/SCALE/ClientFB0x0</t>
  </si>
  <si>
    <t>SR/AUDIO/LINK/IdentifyRtpClientPt0</t>
  </si>
  <si>
    <t>SR/AUDIO/LINK/IdentifiyRtpClientPt98</t>
  </si>
  <si>
    <t>SR/AUDIO/LINK/IdentifiyRtpClientPt99</t>
  </si>
  <si>
    <t>SR/AUDIO/LINK/IdentifyRtpServerPt0</t>
  </si>
  <si>
    <t>SR/AUDIO/LINK/IdentifyRtpServerPt98</t>
  </si>
  <si>
    <t>SR/AUDIO/LINK/IdentifyRtpServerPt99</t>
  </si>
  <si>
    <t>SR/AUDIO/LINK/IdentifyBtHFP</t>
  </si>
  <si>
    <t>SR/AUDIO/LINK/IdentifyBtA2DP</t>
  </si>
  <si>
    <t>SR/AUDIO/BT/LaunchHFP</t>
  </si>
  <si>
    <t>SR/AUDIO/BT/LaunchA2DP</t>
  </si>
  <si>
    <t>SR/AUDIO/BT/TerminateHFP</t>
  </si>
  <si>
    <t>SR/AUDIO/BT/TerminateA2DP</t>
  </si>
  <si>
    <t>SR/AUDIO/RTPC/LaunchRtpClient</t>
  </si>
  <si>
    <t>13-1.1.1</t>
  </si>
  <si>
    <t>SR/AUDIO/RTPC/ConnectRtpClient</t>
  </si>
  <si>
    <t>SR/AUDIO/RTPC/TerminateRtpClient</t>
  </si>
  <si>
    <t>SR/AUDIO/RTPC/InitialPlaybackLatency</t>
  </si>
  <si>
    <t>SR/AUDIO/RTPC/PayloadType0Receive</t>
  </si>
  <si>
    <t>SR/AUDIO/RTPC/PayloadType99Receive</t>
  </si>
  <si>
    <t>SR/AUDIO/RTPC/PayloadType98Receive</t>
  </si>
  <si>
    <t>SR/AUDIO/RTPS/LaunchRtpServer</t>
  </si>
  <si>
    <t>SR/AUDIO/RTPS/ConnectRtpServer</t>
  </si>
  <si>
    <t>SR/AUDIO/RTPS/TerminateRtpServer</t>
  </si>
  <si>
    <t>SR/AUDIO/RTPS/PayloadType99Streaming</t>
  </si>
  <si>
    <t>SR/AUDIO/RTPS/PayloadType98Streaming</t>
  </si>
  <si>
    <t>SR/AUDIO/RTPS/PayloadType0Streaming</t>
  </si>
  <si>
    <t>SR/DAP/UPNP/Announcement</t>
  </si>
  <si>
    <t>15-1.1.1</t>
  </si>
  <si>
    <t>SR/DAP/UPNP/Launch</t>
  </si>
  <si>
    <t>SR/DAP/MSG/AttestationRequest</t>
  </si>
  <si>
    <t>SR/DAP/MSG/AttestationResponse</t>
  </si>
  <si>
    <t>SR/DAP/MSG/VersionSupport</t>
  </si>
  <si>
    <t>SR/DAP/MSG/AttestationWildcard</t>
  </si>
  <si>
    <t>SR/DAP/MSG/PortBinding</t>
  </si>
  <si>
    <t>SR/CDB/UPNP/Announcement</t>
  </si>
  <si>
    <t>SR/CDB/UPNP/Launch</t>
  </si>
  <si>
    <t>SR/CDB/UPNP/IntentionalTerminate</t>
  </si>
  <si>
    <t>SR/SK/SBP/SUBSCRIBE</t>
  </si>
  <si>
    <t>19-1.1.1</t>
  </si>
  <si>
    <t>SR/SK/SBP/GET</t>
  </si>
  <si>
    <t>SR/SK/SBP/AUTHENTICATE</t>
  </si>
  <si>
    <t>SR/SK/SBP/ALIVE</t>
  </si>
  <si>
    <t>SR/SK/SBP/CONTINUE</t>
  </si>
  <si>
    <t>SR/SK/SBP/ALIVE_NORESPONSE</t>
  </si>
  <si>
    <t>SR/SK/SBP/ERROR_UnknownDataType</t>
  </si>
  <si>
    <t>SR/SK/SBP/ERROR_WrongEnd</t>
  </si>
  <si>
    <t>SR/SC/SBP/SUBSCRIBE</t>
  </si>
  <si>
    <t>SR/SC/SBP/GET_SUBSCRIBED</t>
  </si>
  <si>
    <t>SR/SC/SBP/GET_UNSUBSCRIBED</t>
  </si>
  <si>
    <t>SR/SC/SBP/ERROR_NotWritable</t>
  </si>
  <si>
    <t>SR/SC/SBP/ALIVE</t>
  </si>
  <si>
    <t>SR/SC/SBP/CANCEL_SUBSCRIBE</t>
  </si>
  <si>
    <t>SR/SC/SBP/ERROR_UnknownObjectUID</t>
  </si>
  <si>
    <t>SR/SC/SBP/ERROR_UnknownCommand</t>
  </si>
  <si>
    <t>SR/SC/SBP/ERROR_WrongSubscriptionType</t>
  </si>
  <si>
    <t>SR/SC/SBP/ERROR_CommandNotPending</t>
  </si>
  <si>
    <t>SR/SK/GPS/INIT</t>
  </si>
  <si>
    <t>21-1.1.1</t>
  </si>
  <si>
    <t>SR/SK/GPS/GET_NMEA_DESCRIPTION</t>
  </si>
  <si>
    <t>SR/SK/GPS/GET_NMEA</t>
  </si>
  <si>
    <t>SR/SK/GPS/SUBSCRIBE_NMEA</t>
  </si>
  <si>
    <t>SR/SK/GPS/CANCEL_NMEA</t>
  </si>
  <si>
    <t>SR/SC/GPS/INIT</t>
  </si>
  <si>
    <t>SR/SC/GPS/GET_NMEA_DESCRIPTION</t>
  </si>
  <si>
    <t>SR/SC/GPS/GET_NMEA</t>
  </si>
  <si>
    <t>SR/SC/GPS/SUBSCRIBE_NMEA</t>
  </si>
  <si>
    <t>SR/SC/GPS/CANCEL_NMEA</t>
  </si>
  <si>
    <t>SR/SK/LOCATION/INIT</t>
  </si>
  <si>
    <t>23-1.1.1</t>
  </si>
  <si>
    <t>SR/SK/LOCATION/GET_GEOLOCATION</t>
  </si>
  <si>
    <t>SR/SK/LOCATION/SUBSCRIBE_GEOLOCATION</t>
  </si>
  <si>
    <t>SR/SK/LOCATION/CANCEL_GEOLOCATION</t>
  </si>
  <si>
    <t>SR/SK/LOCATION/SUBSCRIBE_GEOLOCATION_UNAVAILABLE</t>
  </si>
  <si>
    <t>SR/SC/LOCATION/INIT</t>
  </si>
  <si>
    <t>SR/SC/LOCATION/GET_GEOLOCATION</t>
  </si>
  <si>
    <t>SR/SC/LOCATION/SUBSCRIBE_GEOLOCATION</t>
  </si>
  <si>
    <t>SR/SC/LOCATION/CANCEL_GEOLOCATION</t>
  </si>
  <si>
    <t>SR/UPnP/APP/GetApplicationList</t>
  </si>
  <si>
    <t>SR/UPNP/APP/AppListingFilter</t>
  </si>
  <si>
    <t>SR/UPNP/APP/LaunchApplication</t>
  </si>
  <si>
    <t>25-1.1.1</t>
  </si>
  <si>
    <t>SR/UPNP/APP/TerminateApplication</t>
  </si>
  <si>
    <t>SR/UPNP/APP/GetApplicationStatus</t>
  </si>
  <si>
    <t>SR/UPNP/APP/AppStatusUpdateSubscribe</t>
  </si>
  <si>
    <t>SR/UPNP/APP/AppStatusUpdateEvent</t>
  </si>
  <si>
    <t>SR/UPNP/APP/AppListUpdateSubscribe</t>
  </si>
  <si>
    <t>SR/UPNP/APP/AppListUpdateEvent</t>
  </si>
  <si>
    <t>SR/UPNP/APP/ContentAttestation</t>
  </si>
  <si>
    <t>SR/UPNP/CERT/GetCertifiedApplicationsList</t>
  </si>
  <si>
    <t>SR/UPNP/CERT/GetApplicationCertificateInfo</t>
  </si>
  <si>
    <t>SR/UPNP/CERT/GetAppCertificationStatusTrue</t>
  </si>
  <si>
    <t>SR/UPNP/CERT/GetAppCertificationStatusFalse</t>
  </si>
  <si>
    <t>SR/UPNP/PROFILE/GetMaxNumProfile</t>
  </si>
  <si>
    <t>SR/UPNP/PROFILE/SetClientProfile</t>
  </si>
  <si>
    <t>SR/UPNP/PROFILE/GetClientProfile</t>
  </si>
  <si>
    <t>SR/UPNP/PROFILE/UnusedProfileIDsSubscribe</t>
  </si>
  <si>
    <t>SR/UPNP/PROFILE/UnusedProfileIDsEvent</t>
    <phoneticPr fontId="6" type="noConversion"/>
  </si>
  <si>
    <t>SR/UPNP/DEVICE/NotificationService</t>
  </si>
  <si>
    <t>SR/UPnP/APP/GetSupportedApplication</t>
  </si>
  <si>
    <t>SR/UPnP/APP/SetAllowedApplication</t>
  </si>
  <si>
    <t>SR/UPnP/APP/GetNotification</t>
  </si>
  <si>
    <t>SR/UPnP/APP/LaunchVncOnNotification</t>
  </si>
  <si>
    <t>SR/UPnP/APP/InvokeVncAction</t>
  </si>
  <si>
    <t>SR/UPnP/APP/InvokeNotiAction</t>
  </si>
  <si>
    <t>SR/UPNP/APP/ActiveNotiEventSubscribe</t>
  </si>
  <si>
    <t>SR/UPNP/APP/ActiveNotiEventEvent</t>
  </si>
  <si>
    <t>SR/UPNP/DEVICE/SSDPalive</t>
  </si>
  <si>
    <t>SR/UPNP/DEVICE/MSearch</t>
  </si>
  <si>
    <t>SR/UPNP/DEVICE/DeviceDescription</t>
  </si>
  <si>
    <t>SR/UPNP/EXT/BdAddr</t>
  </si>
  <si>
    <t>SR/UPNP/EXT/DeviceKeys</t>
  </si>
  <si>
    <t>SR/SC/CDB/OPERATION/ServiceListing</t>
  </si>
  <si>
    <t>SR/SC/CDB/OPERATION/WrongCDBversion</t>
  </si>
  <si>
    <t>SR/SC/CDB/OPERATION/Ping</t>
  </si>
  <si>
    <t>SR/SC/CDB/LAUNCH/ServiceLaunch</t>
  </si>
  <si>
    <t>SR/SC/CDB/LAUNCH/ServiceAlreadyRunning</t>
  </si>
  <si>
    <t>SR/SC/CDB/LAUNCH/UnknownServiceId</t>
  </si>
  <si>
    <t>SR/SC/CDB/TERMINATE/ServiceTermination</t>
  </si>
  <si>
    <t>SR/SC/CDB/TERMINATE/ServiceNotRunning</t>
  </si>
  <si>
    <t>SR/SC/CDB/TERMINATE/UnknownServiceId</t>
  </si>
  <si>
    <t>SR/SC/CDB/PAYLOAD/ServicePayload</t>
  </si>
  <si>
    <t>17-1.1.1</t>
  </si>
  <si>
    <t>SR/SC/CDB/PAYLOAD/ServiceNotRunning</t>
  </si>
  <si>
    <t>SR/SC/CDB/PAYLOAD/UnknownServiceId</t>
  </si>
  <si>
    <t>SR/SK/CDB/OPERATION/ServiceListing</t>
  </si>
  <si>
    <t>SR/SK/CDB/OPERATION/WrongCDBversion</t>
  </si>
  <si>
    <t>SR/SK/CDB/OPERATION/Ping</t>
  </si>
  <si>
    <t>SR/SK/CDB/LAUNCH/ServiceLaunch</t>
  </si>
  <si>
    <t>SR/SK/CDB/PAYLOAD/ServicePayload</t>
  </si>
  <si>
    <t>SR/SK/CDB/PAYLOAD/ServiceNotRunning</t>
  </si>
  <si>
    <t>SR/SK/CDB/PAYLOAD/UnknownServiceId</t>
  </si>
  <si>
    <t>Note</t>
  </si>
  <si>
    <t>AND</t>
  </si>
  <si>
    <t>CL/CON/USB/UsbHostConnect</t>
  </si>
  <si>
    <t>CL/CON/USB/MLCommand</t>
  </si>
  <si>
    <t>CL/CON/USB/MLCommandStallPID</t>
  </si>
  <si>
    <t>CL/CON/USB/MaxEthernetFrameSize</t>
  </si>
  <si>
    <t>CL/CON/DHCP/WLAN/ServerAvailability</t>
  </si>
  <si>
    <t>CL/CON/DHCP/WLAN/ValidIpAddressRange</t>
  </si>
  <si>
    <t>CL/CON/DHCP/WLAN/ValidIpNetmask</t>
  </si>
  <si>
    <t>CL/CON/DHCP/USB/ClientAvailability</t>
  </si>
  <si>
    <t>CL/CON/DHCP/WLAN/ClientAvailability</t>
  </si>
  <si>
    <t>CL/VNC/HS/TcpConnect</t>
  </si>
  <si>
    <t>CL/VNC/HS/ValidVersion</t>
  </si>
  <si>
    <t>CL/VNC/HS/SecurityTypeSelection</t>
  </si>
  <si>
    <t>CL/VNC/HS/ClientInit</t>
  </si>
  <si>
    <t>CL/VNC/HS/VersionFailure</t>
  </si>
  <si>
    <t>CL/VNC/HS/SecurityFailure</t>
  </si>
  <si>
    <t>CL/VNC/INIT/SetEncodings</t>
  </si>
  <si>
    <t>CL/VNC/INIT/ClientDisplayConfiguration</t>
  </si>
  <si>
    <t>CL/VNC/INIT/ClientEventConfiguration</t>
  </si>
  <si>
    <t>CL/VNC/INIT/SetPixelFormatARGB888OrRGB565</t>
  </si>
  <si>
    <t>CL/VNC/BASIC/InitialFbUpdateRequest</t>
  </si>
  <si>
    <t>CL/VNC/BASIC/NonIncrementalFbUpdate</t>
  </si>
  <si>
    <t>CL/VNC/BASIC/IncrementalFbUpdate</t>
  </si>
  <si>
    <t>CL/VNC/BASIC/PointerEventSupport</t>
  </si>
  <si>
    <t>CL/VNC/BASIC/PointerEvents</t>
  </si>
  <si>
    <t>CL/VNC/BASIC/ServerCutText</t>
  </si>
  <si>
    <t>CL/VNC/BASIC/Bell</t>
  </si>
  <si>
    <t>CL/VNC/BASIC/ContextInfoSupport</t>
  </si>
  <si>
    <t>CL/VNC/BASIC/UnknownMirrorLinkExtensionMessage</t>
  </si>
  <si>
    <t>CL/VNC/BASIC/UnknownMirrorLinkExtensionMessageSize</t>
  </si>
  <si>
    <t>CL/VNC/PIXEL/ARGB888</t>
  </si>
  <si>
    <t>CL/VNC/PIXEL/RGB888</t>
  </si>
  <si>
    <t>CL/VNC/PIXEL/RGB565</t>
  </si>
  <si>
    <t>CL/VNC/PIXEL/ARGB555</t>
  </si>
  <si>
    <t>CL/VNC/PIXEL/RGB444</t>
  </si>
  <si>
    <t>CL/VNC/PIXEL/RGB343</t>
  </si>
  <si>
    <t>CL/VNC/PIXEL/16BitGrey</t>
  </si>
  <si>
    <t>CL/VNC/PIXEL/8Bitgrey</t>
  </si>
  <si>
    <t>CL/VNC/TRANSFORM/TransformSupport</t>
  </si>
  <si>
    <t>CL/VNC/TRANSFORM/TransformEncoding</t>
  </si>
  <si>
    <t>CL/VNC/KEYS/X11Keys</t>
  </si>
  <si>
    <t>CL/VNC/KEYS/ItuKeySupport</t>
  </si>
  <si>
    <t>CL/VNC/KEYS/ItuKeys</t>
  </si>
  <si>
    <t>CL/VNC/KEYS/KnobKeySupport</t>
  </si>
  <si>
    <t>CL/VNC/KEYS/KnobKeys</t>
  </si>
  <si>
    <t>CL/VNC/KEYS/DeviceKeySupport</t>
  </si>
  <si>
    <t>CL/VNC/KEYS/DeviceKeys</t>
  </si>
  <si>
    <t>CL/VNC/KEYS/MultimediaKeySupport</t>
  </si>
  <si>
    <t>CL/VNC/KEYS/MultimediaKeys</t>
  </si>
  <si>
    <t>CL/VNC/KEYS/FunctionKeySupport</t>
  </si>
  <si>
    <t>CL/VNC/KEYS/FunctionKeys</t>
  </si>
  <si>
    <t>CL/VNC/KEYMAP/EventMappingSupport</t>
  </si>
  <si>
    <t>CL/VNC/KEYMAP/EventMappingRequest</t>
  </si>
  <si>
    <t>CL/VNC/VKB/VirtualKbSupport</t>
  </si>
  <si>
    <t>CL/VNC/VKB/VirtualKbTriggerRequest</t>
  </si>
  <si>
    <t>CL/VNC/VKB/VirtualKbShow</t>
  </si>
  <si>
    <t>CL/VNC/VKB/VirtualKbRemove</t>
  </si>
  <si>
    <t>CL/VNC/KEYLIST/KeyEventListingSupport</t>
  </si>
  <si>
    <t>CL/VNC/KEYLIST/KeyEventListingRequest</t>
  </si>
  <si>
    <t>CL/VNC/KEYLIST/BlackList</t>
  </si>
  <si>
    <t>CL/VNC/KEYLIST/WhiteList</t>
  </si>
  <si>
    <t>CL/VNC/DEVICE/DeviceStatus</t>
  </si>
  <si>
    <t>CL/VNC/DEVICE/NightMode</t>
  </si>
  <si>
    <t>CL/VNC/DEVICE/ScreenSaver</t>
  </si>
  <si>
    <t>CL/VNC/DEVICE/KeyLock</t>
  </si>
  <si>
    <t>CL/VNC/DEVICE/DriverDistractionAvoidance</t>
  </si>
  <si>
    <t>CL/VNC/DEVICE/RotationChangeAvailable</t>
  </si>
  <si>
    <t>CL/VNC/DEVICE/RotationSwitch</t>
  </si>
  <si>
    <t>CL/VNC/DEVICE/OrientationSwitchAvailable</t>
  </si>
  <si>
    <t>CL/VNC/DEVICE/OrientationSwitch</t>
  </si>
  <si>
    <t>CL/VNC/FBALT/FbAltTextSupport</t>
  </si>
  <si>
    <t>CL/VNC/FBALT/FbAltTextEnable</t>
  </si>
  <si>
    <t>CL/VNC/FBALT/FbAltTextSend</t>
  </si>
  <si>
    <t>CL/VNC/BLOCK/FbBlocked</t>
  </si>
  <si>
    <t>CL/VNC/BLOCK/FbUnBlocked</t>
  </si>
  <si>
    <t>CL/VNC/BLOCK/FbBackground</t>
  </si>
  <si>
    <t>CL/VNC/BLOCK/FbForeground</t>
  </si>
  <si>
    <t>CL/VNC/BLOCK/FbBlockedNativeUI</t>
  </si>
  <si>
    <t>CL/VNC/BLOCK/AudioBlocking</t>
  </si>
  <si>
    <t>CL/VNC/BLOCK/AudioMute</t>
  </si>
  <si>
    <t>CL/VNC/TOUCH/TouchEventSupport</t>
  </si>
  <si>
    <t>CL/VNC/TOUCH/SimultaneousEvents</t>
  </si>
  <si>
    <t>CL/VNC/TOUCH/ForceEvents</t>
  </si>
  <si>
    <t>CL/VNC/DOWNSCALE/DownScalingCheck</t>
  </si>
  <si>
    <t>CL/VNC/DOWNSCALE/ServerFB/ClientWithin800x480</t>
  </si>
  <si>
    <t>CL/VNC/DOWNSCALE/ServerFB/ClientExceed800x480</t>
  </si>
  <si>
    <t>CL/VNC/DOWNSCALE/FixedResolutions</t>
  </si>
  <si>
    <t>CL/VNC/UPSCALE/ClientWithin800x480</t>
  </si>
  <si>
    <t>CL/VNC/UPSCALE/ClientExceeding800x480</t>
  </si>
  <si>
    <t>CL/VNC/DESKTOPSIZE/Support</t>
  </si>
  <si>
    <t>CL/VNC/DESKTOPSIZE/ScalingSkipping</t>
  </si>
  <si>
    <t>CL/VNC/DESKTOPSIZE/ScalingNoSkipping</t>
  </si>
  <si>
    <t>CL/VNC/ATTEST/ContentAttestationRequest</t>
  </si>
  <si>
    <t>CL/AUDIO/LINK/IdentifyRtpPt0</t>
  </si>
  <si>
    <t>CL/AUDIO/LINK/IdentifyRtpPt98</t>
  </si>
  <si>
    <t>CL/AUDIO/LINK/IdentifyRtpPt99</t>
  </si>
  <si>
    <t>CL/AUDIO/RTPS/PayloadType99Streaming</t>
  </si>
  <si>
    <t>CL/AUDIO/RTPS/PayloadType98Streaming</t>
  </si>
  <si>
    <t>CL/AUDIO/RTPS/PayloadType0Streaming</t>
  </si>
  <si>
    <t>CL/AUDIO/RTPC/ConnectRtpClient</t>
  </si>
  <si>
    <t>CL/AUDIO/RTPC/InitialPlaybackLatency</t>
  </si>
  <si>
    <t>CL/AUDIO/RTPC/PayloadType0Receive</t>
  </si>
  <si>
    <t>CL/AUDIO/RTPC/PayloadType99Receive</t>
  </si>
  <si>
    <t>CL/AUDIO/RTPC/PayloadType98Received</t>
  </si>
  <si>
    <t>CL/DAP/UPNP/Identification</t>
  </si>
  <si>
    <t>CL/DAP/UPNP/Launch</t>
  </si>
  <si>
    <t>CL/DAP/MSG/AttestationRequest</t>
  </si>
  <si>
    <t>CL/CDB/UPNP/Identification</t>
  </si>
  <si>
    <t>CL/CDB/UPNP/Launch</t>
  </si>
  <si>
    <t>CL/CDB/UPNP/IntentionalTerminate</t>
  </si>
  <si>
    <t>CL/SK/SBP/SUBSCRIBE</t>
  </si>
  <si>
    <t>CL/SK/SBP/GET</t>
  </si>
  <si>
    <t>CL/SK/SBP/AUTHENTICATE</t>
  </si>
  <si>
    <t>CL/SK/SBP/ALIVE</t>
  </si>
  <si>
    <t>CL/SK/SBP/CONTINUE</t>
  </si>
  <si>
    <t>CL/SK/SBP/ALIVE_NORESPONSE</t>
  </si>
  <si>
    <t>CL/SK/SBP/ERROR_UnknownDataType</t>
  </si>
  <si>
    <t>CL/SK/SBP/ERROR_WrongEnd</t>
  </si>
  <si>
    <t>CL/SK/SBP/ERROR_UnknownUID</t>
  </si>
  <si>
    <t>CL/SC/SBP/SUBSCRIBE</t>
  </si>
  <si>
    <t>CL/SC/SBP/GET_SUBSCRIBED</t>
  </si>
  <si>
    <t>CL/SC/SBP/GET_UNSUBSCRIBED</t>
  </si>
  <si>
    <t>CL/SC/SBP/ERROR_NotWritable</t>
  </si>
  <si>
    <t>CL/SC/SBP/ALIVE</t>
  </si>
  <si>
    <t>CL/SC/SBP/CANCEL_SUBSCRIBE</t>
  </si>
  <si>
    <t>CL/SC/SBP/ERROR_UnknownObjectUID</t>
  </si>
  <si>
    <t>CL/SC/SBP/ERROR_UnknownCommand</t>
  </si>
  <si>
    <t>CL/SC/SBP/ERROR_WrongSubscriptionType</t>
  </si>
  <si>
    <t>CL/SC/SBP/ERROR_CommandNotPending</t>
  </si>
  <si>
    <t>CL/SK/GPS/INIT</t>
  </si>
  <si>
    <t>CL/SK/GPS/GET_NMEA_DESCRIPTION</t>
  </si>
  <si>
    <t>CL/SK/GPS/GET_NMEA</t>
  </si>
  <si>
    <t>CL/SK/GPS/SUBSCRIBE_NMEA</t>
  </si>
  <si>
    <t>CL/SK/GPS/CANCEL_NMEA</t>
  </si>
  <si>
    <t>CL/SC/GPS/INIT</t>
  </si>
  <si>
    <t>CL/SC/GPS/GET_NMEA_DESCRIPTION</t>
  </si>
  <si>
    <t>CL/SC/GPS/GET_NMEA</t>
  </si>
  <si>
    <t>CL/SC/GPS/SUBSCRIBE_NMEA</t>
  </si>
  <si>
    <t>CL/SC/GPS/CANCEL_NMEA</t>
  </si>
  <si>
    <t>CL/SK/LOCATION/INIT</t>
  </si>
  <si>
    <t>CL/SK/LOCATION/GET_GEOLOCATION</t>
  </si>
  <si>
    <t>CL/SK/LOCATION/SUBSCRIBE_GEOLOCATION</t>
  </si>
  <si>
    <t>CL/SK/LOCATION/CANCEL_GEOLOCATION</t>
  </si>
  <si>
    <t>CL/SK/LOCATION/SUBSCRIBE_GEOLOCATION_UNAVAILABLE</t>
  </si>
  <si>
    <t>CL/SC/LOCATION/INIT</t>
  </si>
  <si>
    <t>CL/SC/LOCATION/GET_GEOLOCATION</t>
  </si>
  <si>
    <t>CL/SC/LOCATION/SUBSCRIBE_GEOLOCATION</t>
  </si>
  <si>
    <t>CL/SC/LOCATION/CANCEL_GEOLOCATION</t>
  </si>
  <si>
    <t>CL/UPNP/APP/GetApplicationList</t>
  </si>
  <si>
    <t>CL/UPNP/APP/LaunchApplication</t>
  </si>
  <si>
    <t>CL/UPNP/APP/TerminateApplication</t>
  </si>
  <si>
    <t>CL/UPNP/APP/GetApplicationStatus</t>
  </si>
  <si>
    <t>CL/UPNP/APP/AppStatusUpdateSubscribe</t>
  </si>
  <si>
    <t>CL/UPNP/APP/AppStatusUpdateEvent</t>
  </si>
  <si>
    <t>CL/UPNP/APP/AppListUpdateSubscribe</t>
  </si>
  <si>
    <t>CL/UPNP/APP/AppListUpdateEvent</t>
  </si>
  <si>
    <t>CL/UPNP/CERT/GetCertifiedApplicationsList</t>
  </si>
  <si>
    <t>CL/UPNP/CERT/GetAppCertificationStatus</t>
  </si>
  <si>
    <t>CL/UPNP/CERT/GetApplicationCertificateInfo</t>
  </si>
  <si>
    <t>CL/UPNP/APP/UnusedProfileIDsSubscribe</t>
  </si>
  <si>
    <t>CL/UPNP/APP/GetSupportedApplication</t>
  </si>
  <si>
    <t>CL/UPNP/APP/SetAllowedApplication</t>
  </si>
  <si>
    <t>CL/UPNP/APP/GetNotification</t>
  </si>
  <si>
    <t>CL/UPNP/APP/GetNotificationWithVncAction</t>
  </si>
  <si>
    <t>CL/UPNP/APP/GetNotificationWithInvokeAction</t>
  </si>
  <si>
    <t>CL/UPNP/APP/ActiveNotiEventSubscribe</t>
  </si>
  <si>
    <t>29-1.1.1</t>
  </si>
  <si>
    <t>CL/UPNP/DEVICE/DetectUpnpServer</t>
  </si>
  <si>
    <t>CL/UPNP/DEVICE/LookUpDeviceXML</t>
  </si>
  <si>
    <t>CL/UPNP/DEVICE/LookUpServiceXML</t>
  </si>
  <si>
    <t>CL/SC/CDB/OPERATION/ServiceListing</t>
  </si>
  <si>
    <t>CL/SC/CDB/OPERATION/WrongCDBversion</t>
  </si>
  <si>
    <t>CL/SC/CDB/OPERATION/Ping</t>
  </si>
  <si>
    <t>CL/SC/CDB/LAUNCH/ServiceLaunch</t>
  </si>
  <si>
    <t>CL/SC/CDB/LAUNCH/ServiceAlreadyRunning</t>
  </si>
  <si>
    <t>CL/SC/CDB/LAUNCH/UnknownServiceId</t>
  </si>
  <si>
    <t>CL/SC/CDB/TERMINATE/ServiceTermination</t>
  </si>
  <si>
    <t>CL/SC/CDB/TERMINATE/ServiceNotRunning</t>
  </si>
  <si>
    <t>CL/SC/CDB/TERMINATE/UnknownServiceId</t>
  </si>
  <si>
    <t>CL/SC/CDB/PAYLOAD/ServicePayload</t>
  </si>
  <si>
    <t>CL/SC/CDB/PAYLOAD/ServiceNotRunning</t>
  </si>
  <si>
    <t>CL/SC/CDB/PAYLOAD/UnknownServiceId</t>
  </si>
  <si>
    <t>CL/SK/CDB/OPERATION/ServiceListing</t>
  </si>
  <si>
    <t>CL/SK/CDB/OPERATION/WrongCDBversion</t>
  </si>
  <si>
    <t>CL/SK/CDB/OPERATION/Ping</t>
  </si>
  <si>
    <t>CL/SK/CDB/LAUNCH/ServiceLaunch</t>
  </si>
  <si>
    <t>CL/SK/CDB/PAYLOAD/ServicePayload</t>
  </si>
  <si>
    <t>CL/SK/CDB/PAYLOAD/ServiceNotRunning</t>
  </si>
  <si>
    <t>CL/SK/CDB/PAYLOAD/UnknownServiceId</t>
  </si>
  <si>
    <t>OR NOT</t>
  </si>
  <si>
    <t>OR</t>
  </si>
  <si>
    <t>AND NOT</t>
  </si>
  <si>
    <t>SR/AUDIO/RTPS/GlobalAudioNormalization</t>
  </si>
  <si>
    <t>CL/AUDIO/BT/LaunchHFP</t>
  </si>
  <si>
    <t>CL/AUDIO/BT/LaunchA2DP</t>
  </si>
  <si>
    <t>CL/AUDIO/RTPC/LaunchRtpServer</t>
  </si>
  <si>
    <t>CL/AUDIO/RTPS/LaunchRtpClient</t>
  </si>
  <si>
    <t>SR/DAP/MSG/TestCertificate</t>
  </si>
  <si>
    <t>CL/DAP/MSG/UPnPPortBindingFailure</t>
  </si>
  <si>
    <t>Need to Run Test</t>
  </si>
  <si>
    <t/>
  </si>
  <si>
    <t>FEAT_SERVER_AUDIO_RTP_CLIENT</t>
  </si>
  <si>
    <t>ExportMappingtoXML</t>
  </si>
  <si>
    <t>Export the Mapping database to an XML file for use by the CTS. Not to be run by users.</t>
  </si>
  <si>
    <t>LibreExportMappingtoXML</t>
  </si>
  <si>
    <t>LibreOffice version of ExportMappingtoXML. Puts file in home directory as Mapping_Export.xml. Delete existing Mapping_Export.xml prior to running!</t>
  </si>
  <si>
    <t>Client Tests</t>
  </si>
  <si>
    <t>Server Tests</t>
  </si>
  <si>
    <t>List of client test cases that need to be run, based on PICS values.</t>
  </si>
  <si>
    <t>List of server test cases that need to be run, based on PICS values.</t>
  </si>
  <si>
    <t>Alert</t>
  </si>
  <si>
    <t>CL/CON/USB/UsbConnect</t>
  </si>
  <si>
    <t>9-1.1.1-v4</t>
  </si>
  <si>
    <t>Visual or audio notification</t>
  </si>
  <si>
    <t>FEAT_CLIENT_VNC_Bell_Notification</t>
  </si>
  <si>
    <t>FEAT_CLIENT_VNC_Server_Cut_Received_Text</t>
  </si>
  <si>
    <t>Use received text</t>
  </si>
  <si>
    <t>Force enabled (beyond Press &amp; Release)</t>
  </si>
  <si>
    <t>FEAT_SERVER_VNC_Client_Cut_Received_Text</t>
  </si>
  <si>
    <t>0.7.8</t>
  </si>
  <si>
    <t>Changed oblication foir X11 key (Client), ClientCutText (Server) and ServerCutText (Client)</t>
  </si>
  <si>
    <t>Fixed a problem with the data validation for some of the VNC tests - you can now select Yes/No for those tests.</t>
  </si>
  <si>
    <t>0.8.1</t>
  </si>
  <si>
    <t>0.8.0</t>
  </si>
  <si>
    <t>Added Bell and Cut Text PICS elements. Fixed obligations for SBP.</t>
  </si>
  <si>
    <t>Added mapping document. Added Alert column to PICS to indicate if a feature needs to be implemented - reference only.</t>
  </si>
  <si>
    <t>CL/SC/LOCATION/SUBSCRIBE_GEOLOCATION_UNAVAILABLE</t>
  </si>
  <si>
    <t>CL/SC/LOCATION/GEOLOCATION_TEMP_UNAVAILABLE</t>
  </si>
  <si>
    <t>CL/SK/LOCATION/GEOLOCATION_TEMP_UNAVAILABLE</t>
  </si>
  <si>
    <t>CL/VNC/BASIC/ByeBye</t>
  </si>
  <si>
    <t>CL/VNC/HS/RfbVersion3.7</t>
  </si>
  <si>
    <t>SR/SK/LOCATION/GEOLOCATION_TEMP_UNAVAILABLE</t>
  </si>
  <si>
    <t>SR/SC/LOCATION/SUBSCRIBE_GEOLOCATION_UNAVAILABLE</t>
  </si>
  <si>
    <t>SR/SC/LOCATION/GEOLOCATION_TEMP_UNAVAILABLE</t>
  </si>
  <si>
    <t>SR/VNC/BASIC/ByeBye</t>
  </si>
  <si>
    <t>SR/VNC/BASIC/ByeByeTimeOut</t>
  </si>
  <si>
    <t>SR/VNC/HS/RfbVersion3.7</t>
  </si>
  <si>
    <t>What is the allowed response time for the subscription interval for the GPS data service? (500 ms, 1 s, 5 s, 10 s)</t>
  </si>
  <si>
    <t>GPS signal temp unavailable</t>
  </si>
  <si>
    <t>FEAT_CLIENT_SBP_Sink_Services_GPS_Get</t>
  </si>
  <si>
    <t>FEAT_CLIENT_SBP_Sink_Services_GPS_Subscribe</t>
  </si>
  <si>
    <t>FEAT_CLIENT_SBP_Sink_Services_GPS_Cancel</t>
  </si>
  <si>
    <t>FEAT_CLIENT_SBP_Sink_Services_Location_Get</t>
  </si>
  <si>
    <t>FEAT_CLIENT_SBP_Sink_Services_Location_Subscribe</t>
  </si>
  <si>
    <t>FEAT_CLIENT_SBP_Sink_Services_Location_Cancel</t>
  </si>
  <si>
    <t>FEAT_CLIENT_SBP_Source_Services_Location_Unavailable</t>
  </si>
  <si>
    <t>FEAT_CLIENT_SBP_Source_Services_Location_Cancel</t>
  </si>
  <si>
    <t>FEAT_CLIENT_SBP_Source_Services_Location_Subscribe</t>
  </si>
  <si>
    <t>FEAT_CLIENT_SBP_Source_Services_Location_Get</t>
  </si>
  <si>
    <t>FEAT_CLIENT_SBP_Source_Services_GPS_Get</t>
  </si>
  <si>
    <t>FEAT_CLIENT_SBP_Source_Services_GPS_Subscribe</t>
  </si>
  <si>
    <t>FEAT_CLIENT_SBP_Source_Services_GPS_Cancel</t>
  </si>
  <si>
    <t>FEAT_SERVER_SBP_Sink_Services_GPS_Get</t>
  </si>
  <si>
    <t>FEAT_SERVER_SBP_Sink_Services_GPS_Subscribe</t>
  </si>
  <si>
    <t>FEAT_SERVER_SBP_Sink_Services_GPS_Cancel</t>
  </si>
  <si>
    <t>FEAT_SERVER_SBP_Source_Services_GPS_Get</t>
  </si>
  <si>
    <t>FEAT_SERVER_SBP_Source_Services_GPS_Subscribe</t>
  </si>
  <si>
    <t>FEAT_SERVER_SBP_Source_Services_GPS_Cancel</t>
  </si>
  <si>
    <t>FEAT_SERVER_SBP_Sink_Services_Location_Get</t>
  </si>
  <si>
    <t>FEAT_SERVER_SBP_Sink_Services_Location_Subscribe</t>
  </si>
  <si>
    <t>FEAT_SERVER_SBP_Source_Services_Location_Subscribe</t>
  </si>
  <si>
    <t>FEAT_SERVER_SBP_Source_Services_Location_Cancel</t>
  </si>
  <si>
    <t>FEAT_SERVER_SBP_Source_Services_Location_Unavailable</t>
  </si>
  <si>
    <t>FEAT_SERVER_SBP_Sink_Services_Location_Cancel</t>
  </si>
  <si>
    <t>SR/UPNP/CERT/AppCertFilter</t>
  </si>
  <si>
    <t>0.8.3</t>
  </si>
  <si>
    <t>Addeed missing PICS elements from latest drafts of test spec. Updated test mapping list.</t>
  </si>
  <si>
    <t>0.8.4</t>
  </si>
  <si>
    <t>Added test case categories to Clinet/Server test pages and mapping export.</t>
  </si>
  <si>
    <t>Spec Chapter</t>
  </si>
  <si>
    <t>Spec Sub Category</t>
  </si>
  <si>
    <t>Connectivty</t>
  </si>
  <si>
    <t>USB</t>
  </si>
  <si>
    <t>DHCP</t>
  </si>
  <si>
    <t>Bluetooth</t>
  </si>
  <si>
    <t>Handshake</t>
  </si>
  <si>
    <t>GPS</t>
  </si>
  <si>
    <t>Location</t>
  </si>
  <si>
    <t>Basic</t>
  </si>
  <si>
    <t>Pixel</t>
  </si>
  <si>
    <t>Transform</t>
  </si>
  <si>
    <t>Keys</t>
  </si>
  <si>
    <t>Keymaps</t>
  </si>
  <si>
    <t>Keylists</t>
  </si>
  <si>
    <t>FB Alternate</t>
  </si>
  <si>
    <t>Blocking</t>
  </si>
  <si>
    <t>Touch</t>
  </si>
  <si>
    <t>Downscaling</t>
  </si>
  <si>
    <t>Upscaling</t>
  </si>
  <si>
    <t>Desktop Size</t>
  </si>
  <si>
    <t>Attestation</t>
  </si>
  <si>
    <t>Link</t>
  </si>
  <si>
    <t>Messaging</t>
  </si>
  <si>
    <t>Sink</t>
  </si>
  <si>
    <t>Source</t>
  </si>
  <si>
    <t>Application</t>
  </si>
  <si>
    <t>Certificates</t>
  </si>
  <si>
    <t>UPnP App Server</t>
  </si>
  <si>
    <t>UPnP Client Profile</t>
  </si>
  <si>
    <t>Profile</t>
  </si>
  <si>
    <t>UPnP Notification</t>
  </si>
  <si>
    <t>UPnP Device</t>
  </si>
  <si>
    <t>Common Data Bus</t>
  </si>
  <si>
    <t>Launch (Source)</t>
  </si>
  <si>
    <t>Terminate (Source)</t>
  </si>
  <si>
    <t>Payload (Source)</t>
  </si>
  <si>
    <t>Operation (Source)</t>
  </si>
  <si>
    <t>Operation (Sink)</t>
  </si>
  <si>
    <t>Launch (Sink)</t>
  </si>
  <si>
    <t>Payload (Sink)</t>
  </si>
  <si>
    <t>Scale</t>
  </si>
  <si>
    <t>CL/VNC/UPSCALE/UpScalingCheck</t>
  </si>
  <si>
    <t>SR/CON/DHCP/WLAN/ClientAvailability</t>
  </si>
  <si>
    <t>0.8.5</t>
  </si>
  <si>
    <t>Fixed two test case designators</t>
  </si>
  <si>
    <t>0.8.6</t>
  </si>
  <si>
    <t>Fixed some additional test case designators</t>
  </si>
  <si>
    <t>SR/SK/SBP/ERROR_UnknownUID</t>
  </si>
  <si>
    <t>0.8.7</t>
  </si>
  <si>
    <t>Added some additional PIXIT entries.</t>
  </si>
  <si>
    <t>How to make the DUT ready to react on UPnP AppStatusUpdate events</t>
  </si>
  <si>
    <t>How to make the DUT ready to react on UPnP AppListUpdate events</t>
  </si>
  <si>
    <t>UPnP Application Service</t>
  </si>
  <si>
    <t>Which applications may not react on launching or terminating it. Please specify comma separated list of uids (with 0x prefix) of these applications.</t>
  </si>
  <si>
    <t>CL/SC/CDB/PAYLOAD/WrongAccessControl</t>
  </si>
  <si>
    <t>CL/SK/CDB/PAYLOAD/WrongAccessControl</t>
  </si>
  <si>
    <t>SR/SK/CDB/PAYLOAD/WrongAccessControl</t>
  </si>
  <si>
    <t>SR/SC/CDB/PAYLOAD/WrongAccessControl</t>
  </si>
  <si>
    <t>SR/SC/SBP/ERROR_WrongEnd</t>
  </si>
  <si>
    <t>CL/SC/SBP/ERROR_WrongEnd</t>
  </si>
  <si>
    <t>FEAT_SERVER_SBP_Source_Services_Location_Get</t>
  </si>
  <si>
    <t>0.8.8</t>
  </si>
  <si>
    <t>Fixed some minor bugs in the Tests sheet test names. Deprecated tests are struckout.</t>
  </si>
  <si>
    <t>0.8.9</t>
  </si>
  <si>
    <t>Fixed a bug with the SR/UPNP/EXT/DeviceKeys test case category. Removed deprecated/changed test case names from test pages.</t>
  </si>
  <si>
    <t>0.9.0</t>
  </si>
  <si>
    <t>Hot to trigger the sending of the ￼Virtual Keyboard Trigger Request message.</t>
  </si>
  <si>
    <t>How to trigger the sending of the ￼Framebuffer Alternative Text Request message.</t>
  </si>
  <si>
    <t>How to start one of the SBP services which are available on the DUT (eg. location or GPS) as SBP Sink. (It is expected that the SBP Source at least supports one of the two specified CDB/SBP services. Any of those two services are sufficient for this test case.)</t>
  </si>
  <si>
    <t>Time after which Sink will unsubscribe from the service if GeoLocation data becomes unavailable (miliseconds).</t>
  </si>
  <si>
    <t>In Source: How to change subscribed data (eg. GeoLocation or NMEA). In case of OnChange subscription it triggers a notification. (It is expected that the SBP Source at least supports one of the two specified CDB/SBP services. Any of those two services are sufficient for this test case.)</t>
  </si>
  <si>
    <t>How to make SbpObject not available for subscribe. SBP Source will respond 'not available' error code for every subscribe. (It is expected that the SBP Source at least supports one of the two specified CDB/SBP services. Any of those two services are sufficient for this test case.)</t>
  </si>
  <si>
    <t>How to make SbpObject temporarily not available/available again. SBP Source will respond 'not available' error code in every subscription notification in first state. (It is expected that the SBP Source at least supports one of the two specified CDB/SBP services. Any of those two services are sufficient for this test case.)</t>
  </si>
  <si>
    <t>What is the allowed response time for the subscription interval for the location data service? (500 ms, 1 s, 5 s, 10 s)</t>
  </si>
  <si>
    <t>How to send a subscribe request for an SBP object (eg. GeoLocation or NMEA) to a previously started SBP service. (It is expected that the SBP Source at least supports one of the two specified CDB/SBP services. Any of those two services are sufficient for this test case.)</t>
  </si>
  <si>
    <t>How to send an AliveRequest message to a previously started SBP service. (It is expected that the SBP Source at least supports one of the two specified CDB/SBP services. Any of those two services are sufficient for this test case.)</t>
  </si>
  <si>
    <t>How to send a GET request for an SBP object (eg. GeoLocation, NMEA_description or NMEA) to a previously started SBP service. (It is expected that the SBP Source at least supports one of the two specified CDB/SBP services. Any of those two services are sufficient for this test case.)</t>
  </si>
  <si>
    <t>How to send a Cancel request for an SBP object (eg. GeoLocation or NMEA) to a previously started SBP service. (It is expected that the SBP Source at least supports one of the two specified CDB/SBP services. Any of those two services are sufficient for this test case.)</t>
  </si>
  <si>
    <t>Added some PIXIT entries in relation to SBP, FBAlternateText and VKB Triggers for Clients. Also fixed some glitches in the Client/Server tests sheets - nothing affecting content.</t>
  </si>
  <si>
    <t>0.9.1</t>
  </si>
  <si>
    <t>PICS Version</t>
  </si>
  <si>
    <t>CCC-TS-008</t>
  </si>
  <si>
    <t>CCC-TS-009</t>
  </si>
  <si>
    <t>1.1.1</t>
  </si>
  <si>
    <t>CCC-TS-011</t>
  </si>
  <si>
    <t>CCC-TS-013</t>
  </si>
  <si>
    <t>CCC-TS-015</t>
  </si>
  <si>
    <t>CCC-TS-017</t>
  </si>
  <si>
    <t>CCC-TS-019</t>
  </si>
  <si>
    <t>CCC-TS-021</t>
  </si>
  <si>
    <t>CCC-TS-023</t>
  </si>
  <si>
    <t>CCC-TS-025</t>
  </si>
  <si>
    <t>CCC-TS-027</t>
  </si>
  <si>
    <t>CCC-TS-029</t>
  </si>
  <si>
    <t>CCC-TS-031</t>
  </si>
  <si>
    <t>Service Binary Protocol</t>
  </si>
  <si>
    <t>GPS Data Service</t>
  </si>
  <si>
    <t>Location Data Service</t>
  </si>
  <si>
    <t>UPnP Application Server Service</t>
  </si>
  <si>
    <t>UPnP Client Profile Service</t>
  </si>
  <si>
    <t>CCC-TS-010</t>
  </si>
  <si>
    <t>CCC-TS-012</t>
  </si>
  <si>
    <t>CCC-TS-014</t>
  </si>
  <si>
    <t>CCC-TS-016</t>
  </si>
  <si>
    <t>CCC-TS-018</t>
  </si>
  <si>
    <t>CCC-TS-020</t>
  </si>
  <si>
    <t>CCC-TS-022</t>
  </si>
  <si>
    <t>CCC-TS-024</t>
  </si>
  <si>
    <t>CCC-TS-026</t>
  </si>
  <si>
    <t>CCC-TS-028</t>
  </si>
  <si>
    <t>CCC-TS-030</t>
  </si>
  <si>
    <t>Connectivity Test</t>
  </si>
  <si>
    <t>Device Attestation Test</t>
  </si>
  <si>
    <t>Common Data Bus Test</t>
  </si>
  <si>
    <t>Service Binary Protocol Test</t>
  </si>
  <si>
    <t>GPS Data Service Test</t>
  </si>
  <si>
    <t>Location Data Service Test</t>
  </si>
  <si>
    <t>UPnP Application Server Service Test</t>
  </si>
  <si>
    <t>UPnP Client Profile Service Test</t>
  </si>
  <si>
    <t>Added PICS and document revisions to XML exports. Removed some extra test cases from test lists. Made PICS XML tags visible.</t>
  </si>
  <si>
    <t>VNC Based Display and Control Test</t>
  </si>
  <si>
    <t>How to force the server to use Run-Length Encoding (if supported by server).</t>
  </si>
  <si>
    <t>0.9.5</t>
  </si>
  <si>
    <t>Added Common API, App Cert Handling and Dev Cert Handling features to PICs and tests to Mapping. Updated for latest round of draft updates,</t>
  </si>
  <si>
    <t>11-1.1.2</t>
  </si>
  <si>
    <t>Voice Input</t>
  </si>
  <si>
    <t>Voice Input Status</t>
  </si>
  <si>
    <t>FEAT_SERVER_VNC_Voice_Input_Status</t>
  </si>
  <si>
    <t>SR/VNC/BASIC/UniCodeLatin1KeyEvents</t>
  </si>
  <si>
    <t>SR/VNC/ATTEST/SetSessionKey</t>
  </si>
  <si>
    <t>SR/VNC/ATTEST/AttestationResponseContextInfo</t>
  </si>
  <si>
    <t>SR/VNC/ATTEST/AttestationResponseFbContent</t>
  </si>
  <si>
    <t>SR/VNC/ATTEST/AttestationResponseFbSize</t>
  </si>
  <si>
    <t>CL/VNC/BASIC/UniCodeServerCutText</t>
  </si>
  <si>
    <t>CL/VNC/VKB/VirtualKbWithTextEntry</t>
  </si>
  <si>
    <t>CL/VNC/DEVICE/DeviceLock</t>
  </si>
  <si>
    <t>FEAT_CLIENT_VNC_Voice_Input</t>
  </si>
  <si>
    <t>Microphone Input</t>
  </si>
  <si>
    <t>FEAT_CLIENT_VNC_Microphone_Input</t>
  </si>
  <si>
    <t>CL/VNC/ATTEST/ContentAttestationSuccess</t>
  </si>
  <si>
    <t>CL/VNC/ATTEST/ContentAttestationWrongData</t>
  </si>
  <si>
    <t>CL/VNC/ATTEST/ContentAttestationWrongSignature</t>
  </si>
  <si>
    <t>FEAT_CLIENT_VNC_Attestation_Signature</t>
  </si>
  <si>
    <t>CL/VNC/RLE/ARGB888</t>
  </si>
  <si>
    <t>CL/VNC/RLE/RGB888</t>
  </si>
  <si>
    <t>CL/VNC/RLE/RGB565</t>
  </si>
  <si>
    <t>CL/VNC/RLE/ARGB555</t>
  </si>
  <si>
    <t>CL/VNC/RLE/RGB444</t>
  </si>
  <si>
    <t>CL/VNC/RLE/RGB343</t>
  </si>
  <si>
    <t>CL/VNC/RLE/16BitGrey</t>
  </si>
  <si>
    <t>CL/VNC/RLE/8Bitgrey</t>
  </si>
  <si>
    <t>CL/VNC/RLE/RleSupport</t>
  </si>
  <si>
    <t>SR/VNC/PIXEL/RGB343LittleEndianRAW</t>
  </si>
  <si>
    <t>SR/VNC/PIXEL/RGB343BigEndianRAW</t>
  </si>
  <si>
    <t>SR/VNC/PIXEL/RGB343LittleEndianRLE</t>
  </si>
  <si>
    <t>SR/VNC/PIXEL/RGB343BigEndianRLE</t>
  </si>
  <si>
    <t>SR/VNC/PIXEL/RGB343LittleEndianTE</t>
  </si>
  <si>
    <t>SR/VNC/PIXEL/RGB343BigEndianTE</t>
  </si>
  <si>
    <t>SR/VNC/PIXEL/ARGB555LittleEndianRAW</t>
  </si>
  <si>
    <t>SR/VNC/PIXEL/ARGB555BigEndianRAW</t>
  </si>
  <si>
    <t>SR/VNC/PIXEL/ARGB555LittleEndianRLE</t>
  </si>
  <si>
    <t>SR/VNC/PIXEL/ARGB555BigEndianRLE</t>
  </si>
  <si>
    <t>SR/VNC/PIXEL/ARGB888LittleEndianRAW</t>
  </si>
  <si>
    <t>SR/VNC/PIXEL/ARGB888BigEndianRAW</t>
  </si>
  <si>
    <t>SR/VNC/PIXEL/RGB565LittleEndianRAW</t>
  </si>
  <si>
    <t>SR/VNC/PIXEL/RGB565BigEndianRAW</t>
  </si>
  <si>
    <t>SR/VNC/PIXEL/RGB888LittleEndianRAW</t>
  </si>
  <si>
    <t>SR/VNC/PIXEL/RGB888BigEndianRAW</t>
  </si>
  <si>
    <t>SR/VNC/PIXEL/RGB444LittleEndianRAW</t>
  </si>
  <si>
    <t>SR/VNC/PIXEL/RGB444BigEndianRAW</t>
  </si>
  <si>
    <t>SR/VNC/PIXEL/16BitGreyLittleEndianRAW</t>
  </si>
  <si>
    <t>SR/VNC/PIXEL/16BitGreyBigEndianRAW</t>
  </si>
  <si>
    <t>SR/VNC/PIXEL/8BitGreyLittleEndianRAW</t>
  </si>
  <si>
    <t>SR/VNC/PIXEL/8BitGreyBigEndianRAW</t>
  </si>
  <si>
    <t>SR/VNC/PIXEL/ARGB888LittleEndianRLE</t>
  </si>
  <si>
    <t>SR/VNC/PIXEL/ARGB888BigEndianRLE</t>
  </si>
  <si>
    <t>SR/VNC/PIXEL/RGB565LittleEndianRLE</t>
  </si>
  <si>
    <t>SR/VNC/PIXEL/RGB565BigEndianRLE</t>
  </si>
  <si>
    <t>SR/VNC/PIXEL/RGB888LittleEndianRLE</t>
  </si>
  <si>
    <t>SR/VNC/PIXEL/RGB888BigEndianRLE</t>
  </si>
  <si>
    <t>SR/VNC/PIXEL/RGB444LittleEndianRLE</t>
  </si>
  <si>
    <t>SR/VNC/PIXEL/RGB444BigEndianRLE</t>
  </si>
  <si>
    <t>SR/VNC/PIXEL/16BitGreyLittleEndianRLE</t>
  </si>
  <si>
    <t>SR/VNC/PIXEL/16BitGreyBigEndianRLE</t>
  </si>
  <si>
    <t>SR/VNC/PIXEL/8BitGreyLittleEndianRLE</t>
  </si>
  <si>
    <t>SR/VNC/PIXEL/8BitGreyBigEndianRLE</t>
  </si>
  <si>
    <t>SR/VNC/PIXEL/ARGB555LittleEndianTE</t>
  </si>
  <si>
    <t>SR/VNC/PIXEL/ARGB555BigEndianTE</t>
  </si>
  <si>
    <t>SR/VNC/PIXEL/ARGB888LittleEndianTE</t>
  </si>
  <si>
    <t>SR/VNC/PIXEL/ARGB888BigEndianTE</t>
  </si>
  <si>
    <t>SR/VNC/PIXEL/RGB565LittleEndianTE</t>
  </si>
  <si>
    <t>SR/VNC/PIXEL/RGB565BigEndianTE</t>
  </si>
  <si>
    <t>SR/VNC/PIXEL/RGB888LittleEndianTE</t>
  </si>
  <si>
    <t>SR/VNC/PIXEL/RGB888BigEndianTE</t>
  </si>
  <si>
    <t>SR/VNC/PIXEL/RGB444LittleEndianTE</t>
  </si>
  <si>
    <t>SR/VNC/PIXEL/RGB444BigEndianTE</t>
  </si>
  <si>
    <t>SR/VNC/PIXEL/16BitGreyLittleEndianTE</t>
  </si>
  <si>
    <t>SR/VNC/PIXEL/16BitGreyBigEndianTE</t>
  </si>
  <si>
    <t>SR/VNC/PIXEL/8BitGreyBigEndianTE</t>
  </si>
  <si>
    <t>Audio Context Information</t>
  </si>
  <si>
    <t>FEAT_SERVER_AUDIO_RTP_Audio_Context</t>
  </si>
  <si>
    <t>15-1.1.2</t>
  </si>
  <si>
    <t>CL/DAP/MSG/RtpServerPortBindingFailure</t>
  </si>
  <si>
    <t>17-1.1.2</t>
  </si>
  <si>
    <t>CL/SK/CDB/LAUNCH/ServiceLaunchDelay</t>
  </si>
  <si>
    <t>CL/SK/CDB/LAUNCH/ServiceLaunch5sTimeout</t>
  </si>
  <si>
    <t>SR/SK/CDB/LAUNCH/ServiceLaunchDelay</t>
  </si>
  <si>
    <t>SR/SK/CDB/LAUNCH/ServiceLaunch2MinTimeout</t>
  </si>
  <si>
    <t>SR/SK/CDB/LAUNCH/ServiceLaunch5sTimeout</t>
  </si>
  <si>
    <t>24-1.1.3 v042</t>
  </si>
  <si>
    <t>26-1.1.3</t>
  </si>
  <si>
    <t>SR/API/DI/MLVersion</t>
  </si>
  <si>
    <t>SR/API/DI/ClientInfo</t>
  </si>
  <si>
    <t>39-1.1.0</t>
  </si>
  <si>
    <t>SR/API/CI/CertificateInfo</t>
  </si>
  <si>
    <t>SR/API/CI/MLConnections</t>
  </si>
  <si>
    <t>SR/API/CI/AudioConnections</t>
  </si>
  <si>
    <t>SR/API/DRF/ClientDisplay</t>
  </si>
  <si>
    <t>SR/API/DRF/Orientation</t>
  </si>
  <si>
    <t>SR/API/ERF/EventConfiguration</t>
  </si>
  <si>
    <t>SR/API/ERF/EventMapping</t>
  </si>
  <si>
    <t>SR/API/CIRF/FramebufferInformation</t>
  </si>
  <si>
    <t>SR/API/CIRF/AudioContext</t>
  </si>
  <si>
    <t>SR/API/CIRF/ContextReset</t>
  </si>
  <si>
    <t>SR/API/DSRF/DeviceModes</t>
  </si>
  <si>
    <t>SR/API/DSRF/Microphone</t>
  </si>
  <si>
    <t>SR/API/DS/DataServices</t>
  </si>
  <si>
    <t>SR/API/DS/DataObjectSink</t>
  </si>
  <si>
    <t>SR/API/NTF/NotificationSupport</t>
  </si>
  <si>
    <t>SR/API/NTF/NotificationConfiguration</t>
  </si>
  <si>
    <t>SR/API/NTF/ClientNotification</t>
  </si>
  <si>
    <t>SR/API/NTF/VNCNotification</t>
  </si>
  <si>
    <t>FEAT_SERVER_API_Common_API</t>
  </si>
  <si>
    <t>API</t>
  </si>
  <si>
    <t>Common API</t>
  </si>
  <si>
    <t>SR/APPCERT/RETRIEVAL/Success</t>
  </si>
  <si>
    <t>SR/APPCERT/RETRIEVAL/AcmsOffline</t>
  </si>
  <si>
    <t>SR/APPCERT/RETRIEVAL/NoCertificate</t>
  </si>
  <si>
    <t>SR/APPCERT/VALIDATION/ExpiredCertificate</t>
  </si>
  <si>
    <t>SR/APPCERT/VALIDATION/WrongApplicationID</t>
  </si>
  <si>
    <t>SR/APPCERT/VALIDATION/BlacklistedPlatform</t>
  </si>
  <si>
    <t>SR/APPCERT/VALIDATION/WrongPlatformIdentifier</t>
  </si>
  <si>
    <t>SR/APPCERT/VALIDATION/WrongRuntimeIdentifier</t>
  </si>
  <si>
    <t>SR/APPCERT/REVOCATION/Success</t>
  </si>
  <si>
    <t>SR/APPCERT/REVOCATION/Revoked</t>
  </si>
  <si>
    <t>SR/APPCERT/REVOCATION/WrongNonce</t>
  </si>
  <si>
    <t>SR/APPCERT/REVOCATION/QueryPeriod</t>
  </si>
  <si>
    <t>SR/APPCERT/REVOCATION/ZeroQueryPeriod</t>
  </si>
  <si>
    <t>SR/APPCERT/REVOCATION/GracePeriod</t>
  </si>
  <si>
    <t>SR/APPCERT/UPDATE/NewCertVersion</t>
  </si>
  <si>
    <t>SR/APPCERT/UPDATE/Failure</t>
  </si>
  <si>
    <t>SR/DEVCERT/RETRIEVAL/Success</t>
  </si>
  <si>
    <t>SR/DEVCERT/RETRIEVAL/ErrorResponse</t>
  </si>
  <si>
    <t>SR/DEVCERT/RETRIEVAL/NoCertificate</t>
  </si>
  <si>
    <t>SR/DEVCERT/VALIDATION/ExpiredCertificate</t>
  </si>
  <si>
    <t>SR/DEVCERT/REVOCATION/Success</t>
  </si>
  <si>
    <t>SR/DEVCERT/REVOCATION/Revoked</t>
  </si>
  <si>
    <t>SR/DEVCERT/REVOCATION/WrongNonce</t>
  </si>
  <si>
    <t>SR/DEVCERT/REVOCATION/QueryPeriod</t>
  </si>
  <si>
    <t>SR/DEVCERT/REVOCATION/ZeroQueryPeriod</t>
  </si>
  <si>
    <t>SR/DEVCERT/REVOCATION/NoGracePeriod</t>
  </si>
  <si>
    <t>SR/DEVCERT/UPDATE/NewCertVersion</t>
  </si>
  <si>
    <t>SR/DEVCERT/UPDATE/Failure</t>
  </si>
  <si>
    <t>SR/DEVCERT/APPDEVCERT/ExpiredCertificate</t>
  </si>
  <si>
    <t>SR/DEVCERT/APPDEVCERT/InvalidAppID</t>
  </si>
  <si>
    <t>SR/DEVCERT/APPDEVCERT/WrongDevID</t>
  </si>
  <si>
    <t>37-1.1.0</t>
  </si>
  <si>
    <t>45-1.1.0</t>
  </si>
  <si>
    <t>CCC-TS-036</t>
  </si>
  <si>
    <t>CCC-TS-037</t>
  </si>
  <si>
    <t>CCC-TS-038</t>
  </si>
  <si>
    <t>CCC-TS-039</t>
  </si>
  <si>
    <t>CCC-TS-044</t>
  </si>
  <si>
    <t>CCC-TS-045</t>
  </si>
  <si>
    <t>Handling of Application Certificates</t>
  </si>
  <si>
    <t>Handling of Application Certificates Test</t>
  </si>
  <si>
    <t>Common API Test</t>
  </si>
  <si>
    <t>Application Developer Certificates</t>
  </si>
  <si>
    <t>Application Developer Certificates Test</t>
  </si>
  <si>
    <t>24-1.1.3</t>
  </si>
  <si>
    <t>For ML Client Devices</t>
  </si>
  <si>
    <t>Screen Size (in mms, width and height)</t>
  </si>
  <si>
    <t>Screen Size (in pixels, width and height)</t>
  </si>
  <si>
    <t>Screen Contrast Ratio</t>
  </si>
  <si>
    <t>Available Controls (# of knobs, etc.)</t>
  </si>
  <si>
    <t>Touch Capability (Single, Multi, Pressure)</t>
  </si>
  <si>
    <t>Available Keys</t>
  </si>
  <si>
    <t>Screen Integrated with Head Unit (y/n)</t>
  </si>
  <si>
    <t>Bluetooth (y/n)</t>
  </si>
  <si>
    <t>WiFi (y/n)</t>
  </si>
  <si>
    <t>Device Info</t>
  </si>
  <si>
    <t>Data Services</t>
  </si>
  <si>
    <t>Notifications</t>
  </si>
  <si>
    <t>FEAT_SERVER_API_Notifications</t>
  </si>
  <si>
    <t>FEAT_SERVER_API_Device_Status</t>
  </si>
  <si>
    <t>AppCert</t>
  </si>
  <si>
    <t>Application Certificates</t>
  </si>
  <si>
    <t>FEAT_SERVER_AppCert</t>
  </si>
  <si>
    <t>FEAT_SERVER_AppCert_Ignore_OEM_Entity</t>
  </si>
  <si>
    <t>App Cert Retrieval</t>
  </si>
  <si>
    <t>FEAT_SERVER_AppCert_Retrieval</t>
  </si>
  <si>
    <t>Ignore OEM Entity</t>
  </si>
  <si>
    <t>Error Retry</t>
  </si>
  <si>
    <t>Validation Fail Fallback</t>
  </si>
  <si>
    <t>Server Error Response Retry</t>
  </si>
  <si>
    <t>Failure App List</t>
  </si>
  <si>
    <t>FEAT_SERVER_AppCert_Error_Retry</t>
  </si>
  <si>
    <t>FEAT_SERVER_AppCert_Unavailable_Retry</t>
  </si>
  <si>
    <t>FEAT_SERVER_AppCert_Validation_Fail_Fallback</t>
  </si>
  <si>
    <t>FEAT_SERVER_DevCertRetrieval_ErrorRetry</t>
  </si>
  <si>
    <t>FEAT_SERVER_DevCertRetrieval_UnavailableRetry</t>
  </si>
  <si>
    <t>FEAT_SERVER_DevCertValidation_FalureAppList</t>
  </si>
  <si>
    <t>FEAT_SERVER_AppDevCertValidation_FailureAppList</t>
  </si>
  <si>
    <t>App Cert Root Storage</t>
  </si>
  <si>
    <t>DevCert</t>
  </si>
  <si>
    <t>FEAT_SERVER_AppCertRoot</t>
  </si>
  <si>
    <t>App Cert Validation</t>
  </si>
  <si>
    <t>FEAT_SERVER_AppCert_Validation</t>
  </si>
  <si>
    <t>App Cert Revocation</t>
  </si>
  <si>
    <t>FEAT_SERVER_AppCert_Revocation</t>
  </si>
  <si>
    <t>App Cert Update</t>
  </si>
  <si>
    <t>FEAT_SERVER_AppCert_App_Update</t>
  </si>
  <si>
    <t>App Installation</t>
  </si>
  <si>
    <t>FEAT_SERVER_AppCert_Installation</t>
  </si>
  <si>
    <t>Developer Certificates</t>
  </si>
  <si>
    <t>FEAT_SERVER_DevCerts</t>
  </si>
  <si>
    <t>Cert Retrieval</t>
  </si>
  <si>
    <t>FEAT_SERVER_DevCertRetrieval</t>
  </si>
  <si>
    <t>Validation</t>
  </si>
  <si>
    <t>FEAT_SERVER_DevCertValidation</t>
  </si>
  <si>
    <t>Revocation</t>
  </si>
  <si>
    <t>FEAT_SERVER_DevCertRevocation</t>
  </si>
  <si>
    <t>Dev Cert Update</t>
  </si>
  <si>
    <t>FEAT_SERVER_DevCertUpdate</t>
  </si>
  <si>
    <t>App Dev Cert Retrieval</t>
  </si>
  <si>
    <t>FEAT_SERVER_AppDevCertRetrieval</t>
  </si>
  <si>
    <t>App Dev Cert Validation</t>
  </si>
  <si>
    <t>FEAT_SERVER_AppDevCertValidation</t>
  </si>
  <si>
    <t>App Dev Cert Revocation</t>
  </si>
  <si>
    <t>FEAT_SERVER_AppDevCertRevocation</t>
  </si>
  <si>
    <t>App Dev Cert Update</t>
  </si>
  <si>
    <t>FEAT_SERVER_AppDevCertUpdate</t>
  </si>
  <si>
    <t>Unavailable Retry</t>
  </si>
  <si>
    <t>CL/DAP/MSG/VncServerPortBindingFailure</t>
  </si>
  <si>
    <t>0.9.6</t>
  </si>
  <si>
    <t>13-1.1.2</t>
  </si>
  <si>
    <t>SR/AUDIO/RTPC/RequestMicrophoneInput</t>
  </si>
  <si>
    <t>How to get the MirrorLink Server to open the microphone on the MirrorLink client.</t>
  </si>
  <si>
    <t>Pre-recorded voice-command audio clip, such that the audio clip can be played within the CTS. Must provide file.</t>
  </si>
  <si>
    <t>How to get the MirrorLink Server to close the microphone on the MirrorLink client.</t>
  </si>
  <si>
    <t>FEAT_CLIENT_AUDIO_RTP_Server_Voice</t>
  </si>
  <si>
    <t>CL/AUDIO/RTPS/MicrophoneInput</t>
  </si>
  <si>
    <t>How to initiate sending of a voice command.</t>
  </si>
  <si>
    <t>How to end a voice command.</t>
  </si>
  <si>
    <t>19-1.1.2</t>
  </si>
  <si>
    <t>21-1.1.2</t>
  </si>
  <si>
    <t>25-1.1.2</t>
  </si>
  <si>
    <t>23-1.1.2</t>
  </si>
  <si>
    <t>Added updates for Audio, DAP, CDB, SBP, GPS, Location and UPnP App Server Service specs.</t>
  </si>
  <si>
    <t>0.9.7</t>
  </si>
  <si>
    <t>0.9.8</t>
  </si>
  <si>
    <t>Fixed glitch and added new test cases.</t>
  </si>
  <si>
    <t>ATTEST</t>
  </si>
  <si>
    <t>Fixed VNC/Attest test case subcategory names.</t>
  </si>
  <si>
    <t>0.9.9</t>
  </si>
  <si>
    <t>Fixed obligations of new VNC test cases. Added new test cases from updated specs.</t>
  </si>
  <si>
    <t>0.5.1</t>
  </si>
  <si>
    <t>1.0.0</t>
  </si>
  <si>
    <t>1.1.2</t>
  </si>
  <si>
    <t>1.1.4</t>
  </si>
  <si>
    <t>1.1.3</t>
  </si>
  <si>
    <t>2013-Mar-05</t>
  </si>
  <si>
    <t>2012-Dec-20</t>
  </si>
  <si>
    <t>2012-Sept-24</t>
  </si>
  <si>
    <t>2012-Oct-16</t>
  </si>
  <si>
    <t>CL/UPNP/APP/SignatureSuccess</t>
  </si>
  <si>
    <t>CL/UPNP/APP/SignatureWrong</t>
  </si>
  <si>
    <t>CL/UPNP/CERT/SignatureSuccess</t>
  </si>
  <si>
    <t>CL/UPNP/CERT/SignatureWrong</t>
  </si>
  <si>
    <t>Updated for Barcelona-approved specs - VNC feature obligations, added XML Signature to Client DAP PICS</t>
  </si>
  <si>
    <t>SR/UPNP/APP/NotiAppListUpdateSubscribe</t>
  </si>
  <si>
    <t>SR/UPNP/APP/NotiAppListUpdateEvent</t>
  </si>
  <si>
    <t>CL/UPNP/APP/NotificationSignatureSuccess</t>
  </si>
  <si>
    <t>CL/UPNP/APP/NotificationSignatureFailure</t>
  </si>
  <si>
    <t>CL/UPNP/APP/NotiAppListUpdateEvent</t>
  </si>
  <si>
    <t>CL/UPNP/APP/NotiAppListUpdateSubscribe</t>
  </si>
  <si>
    <t>1.0.1</t>
  </si>
  <si>
    <t>15-1.1.3</t>
  </si>
  <si>
    <t>SR/VNC/BASIC/UniCodeClientCutText</t>
  </si>
  <si>
    <t>App Cert Handling</t>
  </si>
  <si>
    <t>Dev Cert Handling</t>
  </si>
  <si>
    <t>Retrieval</t>
  </si>
  <si>
    <t>Update</t>
  </si>
  <si>
    <t>App Dev Cert</t>
  </si>
  <si>
    <t>Updated with modified 1.1.3DAP test cases. Fixed a few other glitches.</t>
  </si>
  <si>
    <t>Does DUT support an acoustic or visual notification to 'Bell' message?</t>
  </si>
  <si>
    <t>What is expected action on DUT after when test audio file is selected and sent to DUT?</t>
  </si>
  <si>
    <t>How to start an application which will provide new notification.</t>
  </si>
  <si>
    <t>How to uninstall test application from DUT.</t>
  </si>
  <si>
    <t>How to trigger a manual application certificate revocation check.</t>
  </si>
  <si>
    <t>How to set developer ID on DUT.</t>
  </si>
  <si>
    <t>How to connect DUT to internet and install test application on DUT.</t>
  </si>
  <si>
    <t>How to check if DUT send GET request to ACMS.</t>
  </si>
  <si>
    <t>How to trigger a manual developer certificate revocation check.</t>
  </si>
  <si>
    <t>How to connect DUT to internet and install test application with expired application development certificate on DUT.</t>
  </si>
  <si>
    <t>How to connect DUT to internet and install test application with invalid application id in application certificate on DUT.</t>
  </si>
  <si>
    <t>How to connect DUT to internet and install test application with invalid developer id in application certificate on DUT.</t>
  </si>
  <si>
    <t>How to disconnect DUT from the internet.</t>
  </si>
  <si>
    <t>How to connect DUT to internet and install drive-level test application on DUT.</t>
  </si>
  <si>
    <t>DUT includes application into list of certified applications.</t>
  </si>
  <si>
    <t>How to get the list of certified applications.</t>
  </si>
  <si>
    <t>Application Certification</t>
  </si>
  <si>
    <t>Defines framebuffer blocking rules on DUT.</t>
  </si>
  <si>
    <t>1.0.2</t>
  </si>
  <si>
    <t>Added PIXIT entries.</t>
  </si>
  <si>
    <t>1.0.3</t>
  </si>
  <si>
    <t>Fixed ampersand bug in PIXIT export.</t>
  </si>
  <si>
    <t>SBP and SBP Services</t>
  </si>
  <si>
    <t>SR/VNC/PIXEL/8BitGreyLittleEndianTE</t>
  </si>
  <si>
    <t>SR/DEVCERT/VALIDATION/BlacklistedClient</t>
  </si>
  <si>
    <t>SR/DEVCERT/VALIDATION/WrongServerID</t>
  </si>
  <si>
    <t>CL/SK/CDB/LAUNCH/ServiceLaunch2MinTimeout</t>
  </si>
  <si>
    <t>1.0.4</t>
  </si>
  <si>
    <t>Fixed some typos in the test list.</t>
  </si>
  <si>
    <t>1.0.5</t>
  </si>
  <si>
    <t>UPnP Server Device</t>
  </si>
  <si>
    <t>UPnP Server Device Test</t>
  </si>
  <si>
    <t>Typo fixes. Fixed typo on Server PICS XML tag.</t>
  </si>
  <si>
    <t>1.0.6</t>
  </si>
  <si>
    <t>Added changes from recently approved specs.</t>
  </si>
  <si>
    <t>13-1.1.3</t>
  </si>
  <si>
    <t>CL/DAP/MSG/AttestationSuccess2048Bit</t>
  </si>
  <si>
    <t>CL/DAP/MSG/AttestationSuccess4096Bit</t>
  </si>
  <si>
    <t>SR/APPCERT/VALIDATION/WrongRootCertificate</t>
  </si>
  <si>
    <t>SR/APPCERT/REVOCATION/WrongRootCertificate</t>
  </si>
  <si>
    <t>SR/DEVCERT/VALIDATION/WrongRootCertificate</t>
  </si>
  <si>
    <t>45-1.1.1</t>
  </si>
  <si>
    <t>SR/DEVCERT/REVOCATION/WrongRootCertificate</t>
  </si>
  <si>
    <t>Ping Available</t>
  </si>
  <si>
    <t>FEAT_SERVER_USB_Ping</t>
  </si>
  <si>
    <t>FEAT_SERVER_CON_WLAN_Ping</t>
  </si>
  <si>
    <t>FEAT_CLIENT_USB_Ping</t>
  </si>
  <si>
    <t>FEAT_CLIENT_CON_WLAN_Ping</t>
  </si>
  <si>
    <t>1.1.5</t>
  </si>
  <si>
    <t>1.0.7</t>
  </si>
  <si>
    <t>Common API Info</t>
  </si>
  <si>
    <t>FEAT_SERVER_API_Common_API_Info</t>
  </si>
  <si>
    <t>Key Event Listing</t>
  </si>
  <si>
    <t>CL/AUDIO/RTPS/VCR/ClientInitiated</t>
  </si>
  <si>
    <t>CL/AUDIO/RTPS/VCR/ServerInitiatedClientEnded</t>
  </si>
  <si>
    <t>CL/AUDIO/RTPS/VCR/ServerInitiatedServerEnded</t>
  </si>
  <si>
    <t>13-1.1.4</t>
  </si>
  <si>
    <t>SR/AUDIO/RTPC/VCR/ClientInitiated</t>
  </si>
  <si>
    <t>SR/AUDIO/RTPC/VCR/ServerInitiatedClientEnded</t>
  </si>
  <si>
    <t>SR/AUDIO/RTPC/VCR/ServerInitiatedServerEnded</t>
  </si>
  <si>
    <t>11-1.1.4</t>
  </si>
  <si>
    <t>a</t>
  </si>
  <si>
    <t>UPnP App Service</t>
  </si>
  <si>
    <t>How to trigger the sending of a GetApplicationList request</t>
  </si>
  <si>
    <t>Reference</t>
  </si>
  <si>
    <t>Missing Entity</t>
  </si>
  <si>
    <t>FEAT_SERVER_AppCert_Missing_Entity</t>
  </si>
  <si>
    <t>36-3.2.2</t>
  </si>
  <si>
    <t>36-3.1.3</t>
  </si>
  <si>
    <t>36-3.2.3</t>
  </si>
  <si>
    <t>App ID Change Detect</t>
  </si>
  <si>
    <t>FEAT_SERVER_AppCert_AppID_Change</t>
  </si>
  <si>
    <t>36-3.2.6</t>
  </si>
  <si>
    <t>36-4.1</t>
  </si>
  <si>
    <t>36-4.2</t>
  </si>
  <si>
    <t>36-4.3</t>
  </si>
  <si>
    <t>36-4.4</t>
  </si>
  <si>
    <t>App Update Retrieval</t>
  </si>
  <si>
    <t>FEAT_SERVER_AppCert_App_Update_Retrieval</t>
  </si>
  <si>
    <t>36-4.4.1</t>
  </si>
  <si>
    <t>Period Updates</t>
  </si>
  <si>
    <t>36-4.5</t>
  </si>
  <si>
    <t>44-4.1</t>
  </si>
  <si>
    <t>44-4.2</t>
  </si>
  <si>
    <t>44-4.3</t>
  </si>
  <si>
    <t>44-4.4</t>
  </si>
  <si>
    <t>44-5.1</t>
  </si>
  <si>
    <t>44-5.2</t>
  </si>
  <si>
    <t>44-5.3</t>
  </si>
  <si>
    <t>44-5.4</t>
  </si>
  <si>
    <t>Unicode Key Events</t>
  </si>
  <si>
    <t>Unicode Characters</t>
  </si>
  <si>
    <t>Added changes from recently approved specs. Fixed problems with Unicode elements in PICs.</t>
  </si>
  <si>
    <t>1.0.8</t>
  </si>
  <si>
    <t>FEAT_CLIENT_VNC_TouchEvent_Multi-Touch</t>
  </si>
  <si>
    <t>Multi-Touch</t>
  </si>
  <si>
    <t>FEAT_SERVER_VNC_TouchEvent_Multitouch</t>
  </si>
  <si>
    <t>Multi-touch Gestures</t>
  </si>
  <si>
    <t>1.0.9</t>
  </si>
  <si>
    <t>Further refined touch gestures for additional clarity.</t>
  </si>
  <si>
    <t>1.1.10</t>
  </si>
  <si>
    <t>Corrected Voice Command section</t>
  </si>
  <si>
    <t>1.1.11</t>
  </si>
  <si>
    <t>Fixed mapping for UPnP Client App Cert tests.</t>
  </si>
  <si>
    <t>1.1.12</t>
  </si>
  <si>
    <t>Installed Applications</t>
  </si>
  <si>
    <t>List of all installed uncertified, non-MirrorLink-aware applications that are advertised to the MirrorLink Client</t>
  </si>
  <si>
    <t>List of all installed uncertified, MirrorLink-aware applications that are advertised to the MirrorLink Client</t>
  </si>
  <si>
    <t>List of all installed CCC and Member Certified applications</t>
  </si>
  <si>
    <t>List of all installed CCC and Member Drive-Certified applications</t>
  </si>
  <si>
    <t>Connection Info</t>
  </si>
  <si>
    <t>Display Info</t>
  </si>
  <si>
    <t>Event Info</t>
  </si>
  <si>
    <t>Device Status Info</t>
  </si>
  <si>
    <t>38-4.1</t>
  </si>
  <si>
    <t>38-4.2</t>
  </si>
  <si>
    <t>38-4.3</t>
  </si>
  <si>
    <t>38-4.4</t>
  </si>
  <si>
    <t>38-4.5</t>
  </si>
  <si>
    <t>38-4.6</t>
  </si>
  <si>
    <t>38-4.7</t>
  </si>
  <si>
    <t>38-4.8</t>
  </si>
  <si>
    <t>38-4.9</t>
  </si>
  <si>
    <t>38-4.10</t>
  </si>
  <si>
    <t>38-4.11</t>
  </si>
  <si>
    <t>38-4.12</t>
  </si>
  <si>
    <t>FEAT_SERVER_API_Device_Info</t>
  </si>
  <si>
    <t>FEAT_SERVER_API_Connection_Info</t>
  </si>
  <si>
    <t>FEAT_SERVER_API_Display_Info</t>
  </si>
  <si>
    <t>FEAT_SERVER_API_Events_Info</t>
  </si>
  <si>
    <t>FEAT_SERVER_API_Key_Event_Listing_Info</t>
  </si>
  <si>
    <t>FEAT_SERVER_API_Virtual_Keyboard_Info</t>
  </si>
  <si>
    <t>FEAT_SERVER_API_Context_Info</t>
  </si>
  <si>
    <t>Context Info</t>
  </si>
  <si>
    <t>FEAT_SERVER_API_Data_Services</t>
  </si>
  <si>
    <t>Certificate Info</t>
  </si>
  <si>
    <t>FEAT_SERVER_API_Certificate_Info</t>
  </si>
  <si>
    <t>Updated Common API elements (greatly reduced), fixed mapping updates, and added PIXIT for installed apps on servers.</t>
  </si>
  <si>
    <t>Device Status</t>
  </si>
  <si>
    <t>API Info</t>
  </si>
  <si>
    <t>Use Unicode Characters</t>
  </si>
  <si>
    <t>Receive Unicode Characters</t>
  </si>
  <si>
    <t>Send Unicode Characters</t>
  </si>
  <si>
    <t>Pointer Gestures (Single Touch)</t>
  </si>
  <si>
    <t>FEAT_SERVER_VNC_PointerEvent_Gestures</t>
  </si>
  <si>
    <t>FEAT_SERVER_VNC_Unicode_Client_Cut_Receive</t>
  </si>
  <si>
    <t>PointerEvent (Must Support if no Knob Events)</t>
  </si>
  <si>
    <t xml:space="preserve">Receive Unicode Characters </t>
  </si>
  <si>
    <t>FEAT_CLIENT_VNC_Unicode_Server_Cut_Receive</t>
  </si>
  <si>
    <t>FEAT_CLIENT_VNC_PointerEvent_Gestures</t>
  </si>
  <si>
    <t>CL/DAP/MSG/AttestationSuccessTripleCerts</t>
  </si>
  <si>
    <t>CL/DAP/MSG/AttestationFailureInvalidTrustRoot</t>
  </si>
  <si>
    <t>CL/DAP/MSG/AttestationFailureInvalidManufacturerCertificate</t>
  </si>
  <si>
    <t>CL/DAP/MSG/AttestationFailureInvalidDeviceCertificate</t>
  </si>
  <si>
    <t>CL/DAP/MSG/AttestationFailureInvalidQuoteSignature</t>
  </si>
  <si>
    <t>1.1.13</t>
  </si>
  <si>
    <t>Reconciled changes from Jörg, added in missing DAP test cases to Client Tests page.</t>
  </si>
  <si>
    <t>1.1.14</t>
  </si>
  <si>
    <t>Client Virtual Keyboard</t>
  </si>
  <si>
    <t>New</t>
  </si>
  <si>
    <t>Modified</t>
  </si>
  <si>
    <t>FEAT_SERVER_AppCert_Period_Updates</t>
  </si>
  <si>
    <t>Change Note</t>
  </si>
  <si>
    <t>Final tweaks prior to reelase of 1.1.34. Removed a duplicate client test. Added change notes from pervious published version (1.0.6).</t>
  </si>
  <si>
    <t>1.1.15</t>
  </si>
  <si>
    <t>FEAT_CLIENT_UPnP_GetApplicationList_Signing</t>
  </si>
  <si>
    <t>FEAT_CLIENT_UPNP_GetApplicationCertificateInfo_Signing</t>
  </si>
  <si>
    <t>FEAT_CLIENT_UPNP_ServerDevice_Signing</t>
  </si>
  <si>
    <t>FEAT_CLIENT_UPNP_Notification_Signing</t>
  </si>
  <si>
    <t>FEAT_SERVER_UPNP_Notification_XML_Signing</t>
  </si>
  <si>
    <t>15-1.1.5</t>
  </si>
  <si>
    <t>FEAT_CLIENT_DAP_Min_Feature_Set</t>
  </si>
  <si>
    <t>Support Minimum DAP Feature Set (ML:Device)</t>
  </si>
  <si>
    <t>CL/DAP/MSG/AttestationSuccessSizeOfSelect2</t>
  </si>
  <si>
    <t>CL/DAP/MSG/AttestationSuccessSizeOfSelect4</t>
  </si>
  <si>
    <t>CL/DAP/MSG/AttestationSuccessMinFeatureSet</t>
  </si>
  <si>
    <t>SR/CON/DHCP/USB/DHCPDECLINE</t>
  </si>
  <si>
    <t>SR/CON/DHCP/WLAN/DHCPDECLINE</t>
  </si>
  <si>
    <t>How to invoke the GetClientProfile SOAP Action on the DUT</t>
  </si>
  <si>
    <t>How to enable Voice Input on the DUT</t>
  </si>
  <si>
    <t>How to disable Voice Input on the DUT</t>
  </si>
  <si>
    <t>25-1.1.3</t>
  </si>
  <si>
    <t>31-1.1.3</t>
  </si>
  <si>
    <t>CL/UPNP/PROFILE/GetMaxNumProfiles</t>
  </si>
  <si>
    <t>CL/UPNP/PROFILE/GetClientProfile</t>
  </si>
  <si>
    <t>CL/UPNP/PROFILE/SetClientProfile</t>
  </si>
  <si>
    <t>More updates and tweaks based on latest batch of releases and feedback. Fixed UPPP to UPNP glitches.</t>
  </si>
  <si>
    <t>1.1.6</t>
  </si>
  <si>
    <t>1.1.16</t>
  </si>
  <si>
    <t>Desktop Size Encoding (Required if &gt; 800x480)</t>
  </si>
  <si>
    <t>1.1.17</t>
  </si>
  <si>
    <t>Additional tweaks prior to posting.</t>
  </si>
  <si>
    <t>Required if display &gt; 800 x 480</t>
  </si>
  <si>
    <t>Updated unicode entries for clients and servers, and clarified DesktopSize Pseudo-encoding support for servers. Updated change note column.</t>
  </si>
  <si>
    <t>1.1.18</t>
  </si>
  <si>
    <t>Updated for latest batch of changes from TWG.</t>
  </si>
  <si>
    <t>29-1.1.3</t>
  </si>
  <si>
    <t>FEAT_CLIENT_UPNP_ServerDevice_Events</t>
  </si>
  <si>
    <t>FEAT_CLIENT_UPnP_ServerDevice_Events</t>
  </si>
  <si>
    <t>FEAT_CLIENT_UPNP_ServerDevice</t>
  </si>
  <si>
    <t>2013-Nov-05</t>
  </si>
  <si>
    <t>1.1.19</t>
  </si>
  <si>
    <t>9-1.1.6</t>
  </si>
  <si>
    <t>SR/VNC/BLOCK/FbBlockingUiNotVisible</t>
  </si>
  <si>
    <t>SR/VNC/BLOCK/FbBlockingUiNotInFocus</t>
  </si>
  <si>
    <t>SR/VNC/BLOCK/RtpBlockingNotification1ofMany</t>
  </si>
  <si>
    <t>Multiple simultaneous audio streams</t>
  </si>
  <si>
    <t>11-3.11.7</t>
  </si>
  <si>
    <t>FEAT_SERVER_VNC_Multiple_Streams</t>
  </si>
  <si>
    <t>Knob Keys (Must support if no pointer events).</t>
  </si>
  <si>
    <t>CL/VNC/INIT/ClientDisplaySize</t>
  </si>
  <si>
    <t>SR/DAP/COMP/11_10/AttestationWildcard</t>
  </si>
  <si>
    <t>UPnP Notification Server Service</t>
  </si>
  <si>
    <t>UPnP Notification Server Service Test</t>
  </si>
  <si>
    <t>31-1.1.2</t>
  </si>
  <si>
    <t>CL/UPNP/SSDP/ByeByeMessage</t>
  </si>
  <si>
    <t>How to initiate an app that will launch the RTP client on the ML Client and connect to the RTP Server on the CTS</t>
  </si>
  <si>
    <t>13-1.1.5</t>
  </si>
  <si>
    <t>Send Voice Commands Over RTP</t>
  </si>
  <si>
    <t>Send Conversational Audio Over RTP</t>
  </si>
  <si>
    <t>13-4.3</t>
  </si>
  <si>
    <t>FEAT_CLIENT_AUDIO_RTP_Server_Conversation</t>
  </si>
  <si>
    <t>Support Voice Commands Over RTP</t>
  </si>
  <si>
    <t>Support Conversational Audio Over RTP</t>
  </si>
  <si>
    <t>FEAT_SERVER_AUDIO_RTP_Client_Conversation</t>
  </si>
  <si>
    <t>13-3.3</t>
  </si>
  <si>
    <r>
      <t xml:space="preserve">Note that text in </t>
    </r>
    <r>
      <rPr>
        <sz val="12"/>
        <color rgb="FFFF0000"/>
        <rFont val="Calibri"/>
        <scheme val="minor"/>
      </rPr>
      <t>RED</t>
    </r>
    <r>
      <rPr>
        <sz val="12"/>
        <color theme="1"/>
        <rFont val="Calibri"/>
        <family val="2"/>
        <scheme val="minor"/>
      </rPr>
      <t xml:space="preserve"> indicates a change from the previous version of the PICS.</t>
    </r>
  </si>
  <si>
    <t>SR/API/CI/RemoteDisplayConnection</t>
  </si>
  <si>
    <t>SR/API/ERF/VirtualKeyboard</t>
  </si>
  <si>
    <t>37-1.1.1</t>
  </si>
  <si>
    <t>CL/UPNP/DEVICE/QueryElementControlUrl</t>
  </si>
  <si>
    <t>CL/UPNP/DEVICE/QueryElementEventUrl</t>
  </si>
  <si>
    <t>1.1.20</t>
  </si>
  <si>
    <t>Updated for final versions of Audio and VNC specs approved by TWC.</t>
  </si>
  <si>
    <t>2013-Nov-21</t>
  </si>
  <si>
    <t>List of all combinations of audio content categories that are available on the server for each RTP server type (0, 98 and 99). (See section 3 of Audio spec.) (Note: Media Out (0x01) should be listed first.)</t>
  </si>
  <si>
    <t>List of all combinations of audio content categories that are available on the server for the RTP client type (0, 98 and 99). (See section 3 of Audio spec.) (Note: Voice Command In (0x10) should be listed first.)</t>
  </si>
  <si>
    <t>10-5.10</t>
  </si>
  <si>
    <t>Client Display Supports Drive Certified Applications</t>
  </si>
  <si>
    <t>FEAT_CLIENT_VNC_Display_Support_Drive</t>
  </si>
  <si>
    <t>10-5.2</t>
  </si>
  <si>
    <t>ActiveNotiEvent</t>
  </si>
  <si>
    <t>1.1.22</t>
  </si>
  <si>
    <t>Added additional PIXIT entries.</t>
  </si>
  <si>
    <t>How to turn Night Mode on and off.</t>
  </si>
  <si>
    <t>How to turn Screen Saver on and off.</t>
  </si>
  <si>
    <t>How to turn Key Lock on and off.</t>
  </si>
  <si>
    <t>How to turn Driver Distraction Avoidance on and off.</t>
  </si>
  <si>
    <t>How to turn Device Lock on and off.</t>
  </si>
  <si>
    <t>How to get DUT to show unicode text received from VNC Server Cut Text</t>
  </si>
  <si>
    <t>How to switch to the Mirrorlink Client Native UI</t>
  </si>
  <si>
    <t>How to switch the MirrorLink Client back to a previously opened application</t>
  </si>
  <si>
    <t>Does the DUT overload the play/pause button?</t>
  </si>
  <si>
    <t>How to start the RTP server via UPnP (appID 0x0000002a)</t>
  </si>
  <si>
    <t>How to mute/unmute audio</t>
  </si>
  <si>
    <t>How to get DUT to receive unicode text received from VNC Server Cut Text</t>
  </si>
  <si>
    <t>1.1.23</t>
  </si>
  <si>
    <t>Fixed XML signing obligations for servers.</t>
  </si>
  <si>
    <t>XML Signature Verification</t>
  </si>
  <si>
    <t>1.1.24</t>
  </si>
  <si>
    <t>Fixed NativeUI test case conditions. Added DeviceXML tests</t>
  </si>
  <si>
    <t>2014-Jan-23</t>
  </si>
  <si>
    <t>CL/UPNP/DEVICE/SIGN/ValidationFailureInvalidSignature</t>
  </si>
  <si>
    <t>CL/UPNP/DEVICE/SIGN/ValidationFailureInvalidDigestValue</t>
  </si>
  <si>
    <t>CL/UPNP/DEVICE/SIGN/ValidationFailureNonEmptyReferenceUri</t>
  </si>
  <si>
    <t>CL/UPNP/DEVICE/SIGN/ValidationFailureWrongKey</t>
  </si>
  <si>
    <t>CL/UPNP/DEVICE/SIGN/ValidationSuccessC14N</t>
  </si>
  <si>
    <t>CL/UPNP/DEVICE/SIGN/ValidationSuccessExcC14N</t>
  </si>
  <si>
    <t>CL/UPNP/DEVICE/SIGN/ValidationSuccessC14N11</t>
  </si>
  <si>
    <t>SR/UPNP/DEVICE/SIGN/ValidXmlSignature</t>
  </si>
  <si>
    <t>1.1.25</t>
  </si>
  <si>
    <t>Update audio mapping for the VCR tests in the 1.1.6 audio test spec draft</t>
  </si>
  <si>
    <t>Initiate the Voice Command</t>
  </si>
  <si>
    <t>Support for Terminating the Voice Command</t>
  </si>
  <si>
    <t>FEAT_CLIENT_AUDIO_RTP_Server_Voice_Initiate</t>
  </si>
  <si>
    <t>FEAT_CLIENT_AUDIO_RTP_Server_Voice_Terminate</t>
  </si>
  <si>
    <t>13-6.1</t>
  </si>
  <si>
    <t>13-1.1.6</t>
  </si>
  <si>
    <t>XML Signature</t>
  </si>
  <si>
    <t>Architecture SSDP</t>
  </si>
  <si>
    <t>Extensions</t>
  </si>
  <si>
    <t>CL/DAP/MSG/AttestationSuccess2048BitProductionKeys</t>
  </si>
  <si>
    <t>Production</t>
  </si>
  <si>
    <t>How to start two audio applications, which both stream audio at the same time. After performing this step audio data from the RTP server is expected to be streamed, stream contains both application IDs.</t>
  </si>
  <si>
    <t>1.1.26</t>
  </si>
  <si>
    <t>Fixed Common API elements.</t>
  </si>
  <si>
    <t>SR/API/API/Version</t>
  </si>
  <si>
    <t>SR/API/API/ModuleAvailability</t>
  </si>
  <si>
    <t>SR/API/DI/ServerKeyboard</t>
  </si>
  <si>
    <t>SR/API/ERF/KeyEventListing</t>
  </si>
  <si>
    <t>Events</t>
  </si>
  <si>
    <t>1.1.27</t>
  </si>
  <si>
    <t>Member Company</t>
  </si>
  <si>
    <t>Contact Email</t>
  </si>
  <si>
    <t>Contact Address</t>
  </si>
  <si>
    <t>Product Name</t>
  </si>
  <si>
    <t>Product HW Revision</t>
  </si>
  <si>
    <t>Product SW Revision</t>
  </si>
  <si>
    <t>Product Serial Number</t>
  </si>
  <si>
    <t>Product Model Name/Number</t>
  </si>
  <si>
    <t>Fixed bad mapping for the CL/UPNP/APP/NotiAppListUpdateEvent testcase. Updated/fixed ID sheet and export.</t>
  </si>
  <si>
    <t>Device UDN</t>
  </si>
  <si>
    <t>How to open a new audio connection (for the Common API test) - place a phone call, invoke voice control, start music player, have the CTS open audio connection, etc.</t>
  </si>
  <si>
    <t>API Level supported by the DUT</t>
  </si>
  <si>
    <t>ML Major and Minor Version Supported by DUT (≥1.1)</t>
  </si>
  <si>
    <t>Does the DUT support identifying the source of audio streams in the RTP header extensions?</t>
  </si>
  <si>
    <t>Revised</t>
  </si>
  <si>
    <t>Changed obligation.</t>
  </si>
  <si>
    <t>Obligation Changed</t>
  </si>
  <si>
    <t>Get Supported Applications (on NotiAppListUpdate event)</t>
  </si>
  <si>
    <t>Clarified Desc</t>
  </si>
  <si>
    <t>1.1.28</t>
  </si>
  <si>
    <t>Updated with latest TWG spec updates.</t>
  </si>
  <si>
    <t>2014-Mar-18</t>
  </si>
  <si>
    <t>SR/VNC/SCALE/NoServerUpscaling</t>
  </si>
  <si>
    <t>11-1.1.5</t>
  </si>
  <si>
    <t>CL/VNC/BASIC/PointerEventCoverage</t>
  </si>
  <si>
    <t>Screen Saver Enable</t>
  </si>
  <si>
    <t>Screen Saver Disable</t>
  </si>
  <si>
    <t>FEAT_CLIENT_VNC_Screen_Saver_Enable</t>
  </si>
  <si>
    <t>FEAT_CLIENT_VNC_Screen_Saver_Disable</t>
  </si>
  <si>
    <t>10-5.7</t>
  </si>
  <si>
    <t>CL/VNC/DEVICE/ScreenSaverEnable</t>
  </si>
  <si>
    <t>Key Lock Enable</t>
  </si>
  <si>
    <t>Key Lock Disable</t>
  </si>
  <si>
    <t>FEAT_CLIENT_VNC_Key_Lock_Enable</t>
  </si>
  <si>
    <t>FEAT_CLIENT_VNC_Key_Lock_Disable</t>
  </si>
  <si>
    <t>CL/VNC/DEVICE/KeyLockEnable</t>
  </si>
  <si>
    <t>CL/VNC/DEVICE/DeviceLockDisable</t>
  </si>
  <si>
    <t>Device Lock Enable</t>
  </si>
  <si>
    <t>Device Lock Disable</t>
  </si>
  <si>
    <t>FEAT_CLIENT_VNC_Device_Lock_Enable</t>
  </si>
  <si>
    <t>FEAT_CLIENT_VNC_Device_Lock_Disable</t>
  </si>
  <si>
    <t>Audio Test</t>
  </si>
  <si>
    <t>SR/APPCERT/RETRIEVAL/AppUpdate</t>
  </si>
  <si>
    <t>37-1.1.2</t>
  </si>
  <si>
    <t>Developer Identifier that will be sent by the DUT when requesting a developer ID certificate. (SR/DEVCERT/UPDATE/Failure)</t>
  </si>
  <si>
    <t>1.1.29</t>
  </si>
  <si>
    <t>SR/API/DS/DataObjectSinkGPS</t>
  </si>
  <si>
    <t>New to 1.1.2</t>
  </si>
  <si>
    <t>2014-May-14</t>
  </si>
  <si>
    <t>1.1.8</t>
  </si>
  <si>
    <t>2014-May-22</t>
  </si>
  <si>
    <t>Bug fixes, and latest TWG spec updates, including drafts.</t>
  </si>
  <si>
    <t>CL/VNC/BLOCK/SwitchToNativeUI</t>
  </si>
  <si>
    <t>11-1.1.6</t>
  </si>
  <si>
    <t>2014-Apr-22</t>
  </si>
  <si>
    <t>1.1.7</t>
  </si>
  <si>
    <t>2014-May-27</t>
  </si>
  <si>
    <t>Setup BT connection through MirrorLink</t>
  </si>
  <si>
    <t>13-1.1.7</t>
  </si>
  <si>
    <t>13-3.2</t>
  </si>
  <si>
    <t>FEAT_SERVER_CON_BT_Setup</t>
  </si>
  <si>
    <t>13-4.1</t>
  </si>
  <si>
    <t>FEAT_CLIENT_CON_BT_Setup</t>
  </si>
  <si>
    <t>Automatic Resubscribe</t>
  </si>
  <si>
    <t>23-3.5</t>
  </si>
  <si>
    <t>23-1.1.3</t>
  </si>
  <si>
    <t>FEAT_CLIENT_SBP_Sink_Command_Resubscribe</t>
  </si>
  <si>
    <t>FEAT_SERVER_SBP_Sink_Command_Resubscribe</t>
  </si>
  <si>
    <t>How to enable non-CDC/NCM personality on DUT.</t>
  </si>
  <si>
    <t>List of supported USB personalities (without CDC/NCM) on DUT.</t>
  </si>
  <si>
    <t>1.1.30</t>
  </si>
  <si>
    <t>Bug fixes and updates for the CTS 1.1.60 release.</t>
  </si>
  <si>
    <t>1.1.60</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</si>
</sst>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
    <numFmt numFmtId="165" formatCode="yyyy\-mm\-dd"/>
    <numFmt numFmtId="166" formatCode="[$-409]d\-mmm\-yyyy;@"/>
    <numFmt numFmtId="167" formatCode="[$-409]d\-mmm\-yy;@"/>
  </numFmts>
  <fonts count="58"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1"/>
      <color theme="1"/>
      <name val="Calibri"/>
      <family val="2"/>
      <scheme val="minor"/>
    </font>
    <font>
      <sz val="11"/>
      <name val="Calibri"/>
      <family val="2"/>
      <scheme val="minor"/>
    </font>
    <font>
      <sz val="10"/>
      <name val="Arial"/>
      <family val="2"/>
    </font>
    <font>
      <sz val="14"/>
      <color rgb="FFFF0000"/>
      <name val="Arial"/>
    </font>
    <font>
      <sz val="10"/>
      <color rgb="FFFF0000"/>
      <name val="Arial"/>
    </font>
    <font>
      <sz val="10"/>
      <name val="Verdana"/>
    </font>
    <font>
      <u/>
      <sz val="11"/>
      <color theme="10"/>
      <name val="Calibri"/>
      <family val="2"/>
      <scheme val="minor"/>
    </font>
    <font>
      <u/>
      <sz val="11"/>
      <color theme="11"/>
      <name val="Calibri"/>
      <family val="2"/>
      <scheme val="minor"/>
    </font>
    <font>
      <sz val="12"/>
      <color rgb="FF000000"/>
      <name val="Lucida Grande"/>
    </font>
    <font>
      <b/>
      <sz val="11"/>
      <name val="Calibri"/>
      <family val="2"/>
      <scheme val="minor"/>
    </font>
    <font>
      <i/>
      <sz val="11"/>
      <name val="Calibri"/>
      <family val="2"/>
      <scheme val="minor"/>
    </font>
    <font>
      <sz val="14"/>
      <name val="Arial"/>
    </font>
    <font>
      <b/>
      <sz val="18"/>
      <name val="Arial"/>
    </font>
    <font>
      <sz val="12"/>
      <name val="Arial"/>
    </font>
    <font>
      <b/>
      <sz val="12"/>
      <name val="Arial"/>
    </font>
    <font>
      <sz val="11"/>
      <color rgb="FF008000"/>
      <name val="Calibri"/>
      <scheme val="minor"/>
    </font>
    <font>
      <b/>
      <sz val="12"/>
      <color theme="1"/>
      <name val="Calibri"/>
      <family val="2"/>
      <scheme val="minor"/>
    </font>
    <font>
      <sz val="9"/>
      <color indexed="81"/>
      <name val="Calibri"/>
      <family val="2"/>
    </font>
    <font>
      <sz val="12"/>
      <color rgb="FF000090"/>
      <name val="Calibri"/>
      <scheme val="minor"/>
    </font>
    <font>
      <b/>
      <sz val="11"/>
      <color rgb="FF000090"/>
      <name val="Calibri"/>
      <scheme val="minor"/>
    </font>
    <font>
      <sz val="11"/>
      <color rgb="FF000090"/>
      <name val="Calibri"/>
      <scheme val="minor"/>
    </font>
    <font>
      <i/>
      <sz val="11"/>
      <color rgb="FF000090"/>
      <name val="Calibri"/>
      <scheme val="minor"/>
    </font>
    <font>
      <b/>
      <sz val="12"/>
      <name val="Calibri"/>
      <scheme val="minor"/>
    </font>
    <font>
      <sz val="12"/>
      <name val="Calibri"/>
      <scheme val="minor"/>
    </font>
    <font>
      <b/>
      <sz val="10"/>
      <name val="Arial"/>
      <family val="2"/>
    </font>
    <font>
      <sz val="10"/>
      <color theme="1"/>
      <name val="Arial"/>
    </font>
    <font>
      <b/>
      <sz val="11"/>
      <name val="Arial"/>
    </font>
    <font>
      <sz val="11"/>
      <color rgb="FF00B050"/>
      <name val="Calibri"/>
      <family val="2"/>
      <scheme val="minor"/>
    </font>
    <font>
      <sz val="10"/>
      <color rgb="FF000090"/>
      <name val="Arial"/>
      <family val="2"/>
    </font>
    <font>
      <b/>
      <sz val="10"/>
      <color rgb="FF000090"/>
      <name val="Arial"/>
      <family val="2"/>
    </font>
    <font>
      <i/>
      <sz val="11"/>
      <color rgb="FFFF0000"/>
      <name val="Calibri"/>
      <scheme val="minor"/>
    </font>
    <font>
      <sz val="12"/>
      <color rgb="FFFF0000"/>
      <name val="Calibri"/>
      <scheme val="minor"/>
    </font>
    <font>
      <b/>
      <sz val="10"/>
      <color rgb="FFFF0000"/>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D9D9D9"/>
        <bgColor rgb="FF000000"/>
      </patternFill>
    </fill>
    <fill>
      <patternFill patternType="solid">
        <fgColor rgb="FFF2F2F2"/>
        <bgColor rgb="FF000000"/>
      </patternFill>
    </fill>
  </fills>
  <borders count="7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ck">
        <color auto="1"/>
      </left>
      <right style="thin">
        <color auto="1"/>
      </right>
      <top style="thin">
        <color auto="1"/>
      </top>
      <bottom/>
      <diagonal/>
    </border>
    <border>
      <left style="thin">
        <color auto="1"/>
      </left>
      <right style="thick">
        <color auto="1"/>
      </right>
      <top style="thin">
        <color auto="1"/>
      </top>
      <bottom/>
      <diagonal/>
    </border>
    <border>
      <left style="thin">
        <color auto="1"/>
      </left>
      <right/>
      <top style="thin">
        <color auto="1"/>
      </top>
      <bottom/>
      <diagonal/>
    </border>
    <border>
      <left/>
      <right style="thin">
        <color auto="1"/>
      </right>
      <top/>
      <bottom style="medium">
        <color auto="1"/>
      </bottom>
      <diagonal/>
    </border>
    <border>
      <left style="thin">
        <color auto="1"/>
      </left>
      <right style="thin">
        <color auto="1"/>
      </right>
      <top/>
      <bottom style="medium">
        <color auto="1"/>
      </bottom>
      <diagonal/>
    </border>
    <border>
      <left/>
      <right/>
      <top/>
      <bottom style="medium">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medium">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top/>
      <bottom style="medium">
        <color auto="1"/>
      </bottom>
      <diagonal/>
    </border>
    <border>
      <left/>
      <right style="medium">
        <color auto="1"/>
      </right>
      <top style="thin">
        <color auto="1"/>
      </top>
      <bottom style="thin">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style="medium">
        <color auto="1"/>
      </right>
      <top style="thin">
        <color auto="1"/>
      </top>
      <bottom style="medium">
        <color auto="1"/>
      </bottom>
      <diagonal/>
    </border>
    <border>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thin">
        <color auto="1"/>
      </bottom>
      <diagonal/>
    </border>
    <border>
      <left/>
      <right/>
      <top/>
      <bottom style="double">
        <color auto="1"/>
      </bottom>
      <diagonal/>
    </border>
    <border>
      <left/>
      <right/>
      <top style="double">
        <color auto="1"/>
      </top>
      <bottom style="thin">
        <color auto="1"/>
      </bottom>
      <diagonal/>
    </border>
    <border>
      <left/>
      <right style="medium">
        <color auto="1"/>
      </right>
      <top style="double">
        <color auto="1"/>
      </top>
      <bottom style="thin">
        <color auto="1"/>
      </bottom>
      <diagonal/>
    </border>
    <border>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top style="double">
        <color auto="1"/>
      </top>
      <bottom style="thin">
        <color auto="1"/>
      </bottom>
      <diagonal/>
    </border>
    <border>
      <left style="medium">
        <color auto="1"/>
      </left>
      <right style="thin">
        <color auto="1"/>
      </right>
      <top/>
      <bottom style="medium">
        <color auto="1"/>
      </bottom>
      <diagonal/>
    </border>
    <border>
      <left style="medium">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s>
  <cellStyleXfs count="6554">
    <xf numFmtId="0" fontId="0" fillId="0" borderId="0"/>
    <xf numFmtId="0" fontId="9" fillId="0" borderId="0" applyNumberFormat="0" applyFill="0" applyBorder="0" applyAlignment="0" applyProtection="0"/>
    <xf numFmtId="0" fontId="10" fillId="0" borderId="1" applyNumberFormat="0" applyFill="0" applyAlignment="0" applyProtection="0"/>
    <xf numFmtId="0" fontId="11" fillId="0" borderId="2" applyNumberFormat="0" applyFill="0" applyAlignment="0" applyProtection="0"/>
    <xf numFmtId="0" fontId="12" fillId="0" borderId="3" applyNumberFormat="0" applyFill="0" applyAlignment="0" applyProtection="0"/>
    <xf numFmtId="0" fontId="12" fillId="0" borderId="0" applyNumberFormat="0" applyFill="0" applyBorder="0" applyAlignment="0" applyProtection="0"/>
    <xf numFmtId="0" fontId="13" fillId="2" borderId="0" applyNumberFormat="0" applyBorder="0" applyAlignment="0" applyProtection="0"/>
    <xf numFmtId="0" fontId="14" fillId="3" borderId="0" applyNumberFormat="0" applyBorder="0" applyAlignment="0" applyProtection="0"/>
    <xf numFmtId="0" fontId="15" fillId="4" borderId="0" applyNumberFormat="0" applyBorder="0" applyAlignment="0" applyProtection="0"/>
    <xf numFmtId="0" fontId="16" fillId="5" borderId="4" applyNumberFormat="0" applyAlignment="0" applyProtection="0"/>
    <xf numFmtId="0" fontId="17" fillId="6" borderId="5" applyNumberFormat="0" applyAlignment="0" applyProtection="0"/>
    <xf numFmtId="0" fontId="18" fillId="6" borderId="4" applyNumberFormat="0" applyAlignment="0" applyProtection="0"/>
    <xf numFmtId="0" fontId="19" fillId="0" borderId="6" applyNumberFormat="0" applyFill="0" applyAlignment="0" applyProtection="0"/>
    <xf numFmtId="0" fontId="20" fillId="7" borderId="7" applyNumberFormat="0" applyAlignment="0" applyProtection="0"/>
    <xf numFmtId="0" fontId="21" fillId="0" borderId="0" applyNumberFormat="0" applyFill="0" applyBorder="0" applyAlignment="0" applyProtection="0"/>
    <xf numFmtId="0" fontId="8" fillId="8" borderId="8" applyNumberFormat="0" applyFont="0" applyAlignment="0" applyProtection="0"/>
    <xf numFmtId="0" fontId="22" fillId="0" borderId="0" applyNumberFormat="0" applyFill="0" applyBorder="0" applyAlignment="0" applyProtection="0"/>
    <xf numFmtId="0" fontId="23" fillId="0" borderId="9" applyNumberFormat="0" applyFill="0" applyAlignment="0" applyProtection="0"/>
    <xf numFmtId="0" fontId="24" fillId="9"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24" fillId="12" borderId="0" applyNumberFormat="0" applyBorder="0" applyAlignment="0" applyProtection="0"/>
    <xf numFmtId="0" fontId="24"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4" fillId="16" borderId="0" applyNumberFormat="0" applyBorder="0" applyAlignment="0" applyProtection="0"/>
    <xf numFmtId="0" fontId="24"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4" fillId="20" borderId="0" applyNumberFormat="0" applyBorder="0" applyAlignment="0" applyProtection="0"/>
    <xf numFmtId="0" fontId="24"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4" fillId="24" borderId="0" applyNumberFormat="0" applyBorder="0" applyAlignment="0" applyProtection="0"/>
    <xf numFmtId="0" fontId="24"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4" fillId="28" borderId="0" applyNumberFormat="0" applyBorder="0" applyAlignment="0" applyProtection="0"/>
    <xf numFmtId="0" fontId="24"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4" fillId="32" borderId="0" applyNumberFormat="0" applyBorder="0" applyAlignment="0" applyProtection="0"/>
    <xf numFmtId="0" fontId="27" fillId="0" borderId="0"/>
    <xf numFmtId="0" fontId="30" fillId="0" borderId="0"/>
    <xf numFmtId="0" fontId="27" fillId="0" borderId="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7" fillId="0" borderId="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1" fillId="0" borderId="0" applyNumberFormat="0" applyFill="0" applyBorder="0" applyAlignment="0" applyProtection="0"/>
    <xf numFmtId="0" fontId="32" fillId="0" borderId="0" applyNumberFormat="0" applyFill="0" applyBorder="0" applyAlignment="0" applyProtection="0"/>
  </cellStyleXfs>
  <cellXfs count="301">
    <xf numFmtId="0" fontId="0" fillId="0" borderId="0" xfId="0"/>
    <xf numFmtId="0" fontId="0" fillId="0" borderId="0" xfId="0" applyAlignment="1">
      <alignment wrapText="1"/>
    </xf>
    <xf numFmtId="0" fontId="0" fillId="0" borderId="11" xfId="0" applyBorder="1" applyAlignment="1">
      <alignment wrapText="1"/>
    </xf>
    <xf numFmtId="49" fontId="25" fillId="0" borderId="11" xfId="0" applyNumberFormat="1" applyFont="1" applyFill="1" applyBorder="1" applyAlignment="1">
      <alignment horizontal="left" vertical="center" wrapText="1"/>
    </xf>
    <xf numFmtId="0" fontId="0" fillId="33" borderId="11" xfId="0" applyFill="1" applyBorder="1"/>
    <xf numFmtId="49" fontId="25" fillId="33" borderId="11" xfId="0" applyNumberFormat="1" applyFont="1" applyFill="1" applyBorder="1" applyAlignment="1">
      <alignment horizontal="left" vertical="center" wrapText="1"/>
    </xf>
    <xf numFmtId="0" fontId="26" fillId="0" borderId="0" xfId="0" applyFont="1"/>
    <xf numFmtId="0" fontId="37" fillId="0" borderId="0" xfId="42" applyFont="1"/>
    <xf numFmtId="0" fontId="7" fillId="0" borderId="38" xfId="1119" applyBorder="1"/>
    <xf numFmtId="0" fontId="7" fillId="0" borderId="0" xfId="1119"/>
    <xf numFmtId="0" fontId="26" fillId="33" borderId="11" xfId="0" applyFont="1" applyFill="1" applyBorder="1"/>
    <xf numFmtId="0" fontId="26" fillId="0" borderId="11" xfId="0" applyFont="1" applyBorder="1" applyAlignment="1">
      <alignment wrapText="1"/>
    </xf>
    <xf numFmtId="0" fontId="26" fillId="0" borderId="0" xfId="0" applyFont="1" applyAlignment="1">
      <alignment wrapText="1"/>
    </xf>
    <xf numFmtId="0" fontId="7" fillId="0" borderId="0" xfId="1119" applyAlignment="1">
      <alignment horizontal="left" vertical="center" wrapText="1"/>
    </xf>
    <xf numFmtId="0" fontId="7" fillId="0" borderId="42" xfId="1119" applyBorder="1" applyAlignment="1" applyProtection="1">
      <alignment horizontal="left" wrapText="1"/>
      <protection locked="0"/>
    </xf>
    <xf numFmtId="0" fontId="7" fillId="0" borderId="43" xfId="1119" applyBorder="1" applyAlignment="1" applyProtection="1">
      <alignment horizontal="left" wrapText="1"/>
      <protection locked="0"/>
    </xf>
    <xf numFmtId="0" fontId="7" fillId="0" borderId="50" xfId="1119" applyBorder="1" applyAlignment="1" applyProtection="1">
      <alignment horizontal="left" wrapText="1"/>
      <protection locked="0"/>
    </xf>
    <xf numFmtId="0" fontId="7" fillId="0" borderId="0" xfId="1119" applyAlignment="1" applyProtection="1">
      <alignment horizontal="left" wrapText="1"/>
      <protection locked="0"/>
    </xf>
    <xf numFmtId="0" fontId="43" fillId="0" borderId="39" xfId="1119" applyFont="1" applyBorder="1" applyAlignment="1">
      <alignment vertical="top" wrapText="1"/>
    </xf>
    <xf numFmtId="0" fontId="43" fillId="0" borderId="40" xfId="1119" applyFont="1" applyBorder="1" applyAlignment="1">
      <alignment horizontal="center"/>
    </xf>
    <xf numFmtId="0" fontId="43" fillId="0" borderId="41" xfId="1119" applyFont="1" applyBorder="1" applyAlignment="1">
      <alignment wrapText="1"/>
    </xf>
    <xf numFmtId="0" fontId="43" fillId="0" borderId="39" xfId="1119" applyFont="1" applyBorder="1" applyAlignment="1">
      <alignment wrapText="1"/>
    </xf>
    <xf numFmtId="0" fontId="44" fillId="33" borderId="27" xfId="0" applyFont="1" applyFill="1" applyBorder="1" applyAlignment="1">
      <alignment horizontal="center" vertical="center" wrapText="1"/>
    </xf>
    <xf numFmtId="164" fontId="26" fillId="0" borderId="16" xfId="0" applyNumberFormat="1" applyFont="1" applyBorder="1" applyAlignment="1" applyProtection="1">
      <alignment horizontal="center" wrapText="1"/>
      <protection locked="0"/>
    </xf>
    <xf numFmtId="164" fontId="26" fillId="0" borderId="11" xfId="0" applyNumberFormat="1" applyFont="1" applyBorder="1" applyAlignment="1" applyProtection="1">
      <alignment horizontal="center" wrapText="1"/>
      <protection locked="0"/>
    </xf>
    <xf numFmtId="0" fontId="26" fillId="0" borderId="0" xfId="0" applyFont="1" applyProtection="1">
      <protection locked="0"/>
    </xf>
    <xf numFmtId="0" fontId="44" fillId="33" borderId="18" xfId="0" applyFont="1" applyFill="1" applyBorder="1" applyAlignment="1">
      <alignment vertical="center" wrapText="1"/>
    </xf>
    <xf numFmtId="0" fontId="44" fillId="33" borderId="19" xfId="0" applyFont="1" applyFill="1" applyBorder="1" applyAlignment="1">
      <alignment horizontal="center" vertical="center"/>
    </xf>
    <xf numFmtId="0" fontId="26" fillId="0" borderId="11" xfId="0" applyFont="1" applyFill="1" applyBorder="1" applyAlignment="1" applyProtection="1">
      <alignment horizontal="center"/>
      <protection locked="0"/>
    </xf>
    <xf numFmtId="0" fontId="26" fillId="0" borderId="0" xfId="0" applyFont="1" applyAlignment="1" applyProtection="1">
      <alignment horizontal="center"/>
      <protection locked="0"/>
    </xf>
    <xf numFmtId="0" fontId="6" fillId="0" borderId="0" xfId="1119" applyFont="1" applyAlignment="1">
      <alignment vertical="center" wrapText="1"/>
    </xf>
    <xf numFmtId="0" fontId="6" fillId="0" borderId="0" xfId="1119" applyFont="1" applyAlignment="1">
      <alignment horizontal="left" vertical="center" wrapText="1"/>
    </xf>
    <xf numFmtId="0" fontId="43" fillId="34" borderId="55" xfId="1119" applyFont="1" applyFill="1" applyBorder="1" applyAlignment="1">
      <alignment vertical="top" wrapText="1"/>
    </xf>
    <xf numFmtId="0" fontId="43" fillId="34" borderId="52" xfId="1119" applyFont="1" applyFill="1" applyBorder="1" applyAlignment="1">
      <alignment horizontal="center"/>
    </xf>
    <xf numFmtId="0" fontId="43" fillId="34" borderId="53" xfId="1119" applyFont="1" applyFill="1" applyBorder="1" applyAlignment="1">
      <alignment wrapText="1"/>
    </xf>
    <xf numFmtId="0" fontId="43" fillId="34" borderId="56" xfId="1119" applyFont="1" applyFill="1" applyBorder="1" applyAlignment="1">
      <alignment vertical="top" wrapText="1"/>
    </xf>
    <xf numFmtId="0" fontId="43" fillId="34" borderId="11" xfId="1119" applyFont="1" applyFill="1" applyBorder="1" applyAlignment="1">
      <alignment horizontal="center"/>
    </xf>
    <xf numFmtId="0" fontId="43" fillId="34" borderId="21" xfId="1119" applyFont="1" applyFill="1" applyBorder="1" applyAlignment="1">
      <alignment wrapText="1"/>
    </xf>
    <xf numFmtId="0" fontId="43" fillId="34" borderId="57" xfId="1119" applyFont="1" applyFill="1" applyBorder="1" applyAlignment="1">
      <alignment vertical="top" wrapText="1"/>
    </xf>
    <xf numFmtId="0" fontId="43" fillId="34" borderId="48" xfId="1119" applyFont="1" applyFill="1" applyBorder="1" applyAlignment="1">
      <alignment horizontal="center"/>
    </xf>
    <xf numFmtId="0" fontId="43" fillId="34" borderId="49" xfId="1119" applyFont="1" applyFill="1" applyBorder="1" applyAlignment="1">
      <alignment wrapText="1"/>
    </xf>
    <xf numFmtId="0" fontId="43" fillId="34" borderId="58" xfId="1119" applyFont="1" applyFill="1" applyBorder="1" applyAlignment="1">
      <alignment vertical="top" wrapText="1"/>
    </xf>
    <xf numFmtId="0" fontId="43" fillId="34" borderId="16" xfId="1119" applyFont="1" applyFill="1" applyBorder="1" applyAlignment="1">
      <alignment horizontal="center"/>
    </xf>
    <xf numFmtId="0" fontId="43" fillId="34" borderId="24" xfId="1119" applyFont="1" applyFill="1" applyBorder="1" applyAlignment="1">
      <alignment wrapText="1"/>
    </xf>
    <xf numFmtId="0" fontId="6" fillId="0" borderId="43" xfId="1119" applyFont="1" applyBorder="1" applyAlignment="1" applyProtection="1">
      <alignment horizontal="left" wrapText="1"/>
      <protection locked="0"/>
    </xf>
    <xf numFmtId="0" fontId="43" fillId="34" borderId="51" xfId="1119" applyFont="1" applyFill="1" applyBorder="1" applyAlignment="1">
      <alignment vertical="top" wrapText="1"/>
    </xf>
    <xf numFmtId="0" fontId="43" fillId="34" borderId="23" xfId="1119" applyFont="1" applyFill="1" applyBorder="1" applyAlignment="1">
      <alignment vertical="top" wrapText="1"/>
    </xf>
    <xf numFmtId="0" fontId="43" fillId="34" borderId="23" xfId="1119" applyFont="1" applyFill="1" applyBorder="1" applyAlignment="1">
      <alignment vertical="top"/>
    </xf>
    <xf numFmtId="0" fontId="43" fillId="34" borderId="47" xfId="1119" applyFont="1" applyFill="1" applyBorder="1" applyAlignment="1">
      <alignment vertical="top" wrapText="1"/>
    </xf>
    <xf numFmtId="0" fontId="43" fillId="34" borderId="36" xfId="1119" applyFont="1" applyFill="1" applyBorder="1" applyAlignment="1">
      <alignment vertical="top" wrapText="1"/>
    </xf>
    <xf numFmtId="0" fontId="43" fillId="34" borderId="37" xfId="1119" applyFont="1" applyFill="1" applyBorder="1" applyAlignment="1">
      <alignment horizontal="center"/>
    </xf>
    <xf numFmtId="0" fontId="43" fillId="34" borderId="45" xfId="1119" applyFont="1" applyFill="1" applyBorder="1" applyAlignment="1">
      <alignment wrapText="1"/>
    </xf>
    <xf numFmtId="0" fontId="43" fillId="34" borderId="47" xfId="1119" applyFont="1" applyFill="1" applyBorder="1" applyAlignment="1">
      <alignment vertical="top"/>
    </xf>
    <xf numFmtId="0" fontId="43" fillId="34" borderId="26" xfId="1119" applyFont="1" applyFill="1" applyBorder="1" applyAlignment="1">
      <alignment vertical="top" wrapText="1"/>
    </xf>
    <xf numFmtId="0" fontId="43" fillId="34" borderId="28" xfId="1119" applyFont="1" applyFill="1" applyBorder="1" applyAlignment="1">
      <alignment horizontal="center"/>
    </xf>
    <xf numFmtId="0" fontId="43" fillId="34" borderId="29" xfId="1119" applyFont="1" applyFill="1" applyBorder="1" applyAlignment="1">
      <alignment wrapText="1"/>
    </xf>
    <xf numFmtId="0" fontId="45" fillId="34" borderId="15" xfId="0" applyFont="1" applyFill="1" applyBorder="1"/>
    <xf numFmtId="0" fontId="45" fillId="34" borderId="10" xfId="0" applyFont="1" applyFill="1" applyBorder="1"/>
    <xf numFmtId="0" fontId="45" fillId="34" borderId="10" xfId="0" applyFont="1" applyFill="1" applyBorder="1" applyAlignment="1">
      <alignment vertical="center"/>
    </xf>
    <xf numFmtId="0" fontId="45" fillId="34" borderId="33" xfId="0" applyFont="1" applyFill="1" applyBorder="1"/>
    <xf numFmtId="0" fontId="45" fillId="34" borderId="13" xfId="0" applyFont="1" applyFill="1" applyBorder="1"/>
    <xf numFmtId="0" fontId="6" fillId="0" borderId="0" xfId="1119" applyFont="1" applyAlignment="1">
      <alignment horizontal="left" vertical="center"/>
    </xf>
    <xf numFmtId="0" fontId="48" fillId="0" borderId="0" xfId="0" applyFont="1"/>
    <xf numFmtId="0" fontId="48" fillId="0" borderId="0" xfId="0" applyFont="1" applyAlignment="1">
      <alignment wrapText="1"/>
    </xf>
    <xf numFmtId="0" fontId="48" fillId="0" borderId="0" xfId="1119" applyFont="1"/>
    <xf numFmtId="0" fontId="41" fillId="0" borderId="25" xfId="1119" applyFont="1" applyBorder="1" applyAlignment="1">
      <alignment vertical="center" wrapText="1"/>
    </xf>
    <xf numFmtId="0" fontId="47" fillId="0" borderId="25" xfId="0" applyFont="1" applyBorder="1"/>
    <xf numFmtId="0" fontId="47" fillId="0" borderId="25" xfId="0" applyFont="1" applyBorder="1" applyAlignment="1">
      <alignment wrapText="1"/>
    </xf>
    <xf numFmtId="22" fontId="34" fillId="0" borderId="17" xfId="0" applyNumberFormat="1" applyFont="1" applyBorder="1" applyAlignment="1" applyProtection="1">
      <alignment horizontal="center" wrapText="1"/>
      <protection locked="0"/>
    </xf>
    <xf numFmtId="0" fontId="34" fillId="0" borderId="12" xfId="0" applyFont="1" applyBorder="1" applyAlignment="1" applyProtection="1">
      <alignment horizontal="center" wrapText="1"/>
      <protection locked="0"/>
    </xf>
    <xf numFmtId="0" fontId="34" fillId="0" borderId="34" xfId="0" applyFont="1" applyBorder="1" applyAlignment="1" applyProtection="1">
      <alignment horizontal="center" wrapText="1"/>
      <protection locked="0"/>
    </xf>
    <xf numFmtId="0" fontId="34" fillId="0" borderId="14" xfId="0" applyFont="1" applyBorder="1" applyAlignment="1" applyProtection="1">
      <alignment horizontal="center" wrapText="1"/>
      <protection locked="0"/>
    </xf>
    <xf numFmtId="0" fontId="6" fillId="0" borderId="54" xfId="1119" applyFont="1" applyBorder="1" applyAlignment="1" applyProtection="1">
      <alignment horizontal="left" wrapText="1"/>
      <protection locked="0"/>
    </xf>
    <xf numFmtId="0" fontId="45" fillId="0" borderId="0" xfId="0" applyFont="1" applyAlignment="1">
      <alignment wrapText="1"/>
    </xf>
    <xf numFmtId="0" fontId="5" fillId="0" borderId="0" xfId="1119" applyFont="1" applyAlignment="1">
      <alignment vertical="center" wrapText="1"/>
    </xf>
    <xf numFmtId="0" fontId="43" fillId="34" borderId="65" xfId="1119" applyFont="1" applyFill="1" applyBorder="1" applyAlignment="1">
      <alignment vertical="top" wrapText="1"/>
    </xf>
    <xf numFmtId="0" fontId="43" fillId="34" borderId="27" xfId="1119" applyFont="1" applyFill="1" applyBorder="1" applyAlignment="1">
      <alignment vertical="top" wrapText="1"/>
    </xf>
    <xf numFmtId="0" fontId="4" fillId="0" borderId="44" xfId="1119" applyFont="1" applyBorder="1" applyAlignment="1" applyProtection="1">
      <alignment horizontal="left" wrapText="1"/>
      <protection locked="0"/>
    </xf>
    <xf numFmtId="0" fontId="43" fillId="34" borderId="52" xfId="1119" applyFont="1" applyFill="1" applyBorder="1" applyAlignment="1">
      <alignment horizontal="center" vertical="center"/>
    </xf>
    <xf numFmtId="0" fontId="43" fillId="34" borderId="11" xfId="1119" applyFont="1" applyFill="1" applyBorder="1" applyAlignment="1">
      <alignment horizontal="center" vertical="center"/>
    </xf>
    <xf numFmtId="0" fontId="43" fillId="34" borderId="48" xfId="1119" applyFont="1" applyFill="1" applyBorder="1" applyAlignment="1">
      <alignment horizontal="center" vertical="center"/>
    </xf>
    <xf numFmtId="0" fontId="43" fillId="34" borderId="16" xfId="1119" applyFont="1" applyFill="1" applyBorder="1" applyAlignment="1">
      <alignment horizontal="center" vertical="center"/>
    </xf>
    <xf numFmtId="0" fontId="43" fillId="34" borderId="28" xfId="1119" applyFont="1" applyFill="1" applyBorder="1" applyAlignment="1">
      <alignment horizontal="center" vertical="center"/>
    </xf>
    <xf numFmtId="0" fontId="43" fillId="34" borderId="37" xfId="1119" applyFont="1" applyFill="1" applyBorder="1" applyAlignment="1">
      <alignment horizontal="center" vertical="center"/>
    </xf>
    <xf numFmtId="0" fontId="43" fillId="0" borderId="40" xfId="1119" applyFont="1" applyBorder="1" applyAlignment="1">
      <alignment horizontal="center" vertical="center"/>
    </xf>
    <xf numFmtId="0" fontId="29" fillId="0" borderId="0" xfId="42" applyFont="1" applyAlignment="1">
      <alignment vertical="center"/>
    </xf>
    <xf numFmtId="49" fontId="27" fillId="0" borderId="0" xfId="42" applyNumberFormat="1" applyFont="1" applyFill="1" applyAlignment="1">
      <alignment horizontal="center" vertical="center"/>
    </xf>
    <xf numFmtId="167" fontId="27" fillId="0" borderId="0" xfId="42" applyNumberFormat="1" applyFont="1" applyAlignment="1">
      <alignment horizontal="center" vertical="center"/>
    </xf>
    <xf numFmtId="0" fontId="27" fillId="0" borderId="0" xfId="42" applyFont="1" applyAlignment="1">
      <alignment vertical="center" wrapText="1"/>
    </xf>
    <xf numFmtId="0" fontId="29" fillId="0" borderId="0" xfId="42" applyFont="1" applyAlignment="1">
      <alignment horizontal="center" vertical="center"/>
    </xf>
    <xf numFmtId="49" fontId="29" fillId="0" borderId="0" xfId="42" applyNumberFormat="1" applyFont="1" applyAlignment="1">
      <alignment vertical="center"/>
    </xf>
    <xf numFmtId="165" fontId="29" fillId="0" borderId="0" xfId="42" applyNumberFormat="1" applyFont="1" applyAlignment="1">
      <alignment horizontal="center" vertical="center"/>
    </xf>
    <xf numFmtId="0" fontId="27" fillId="0" borderId="0" xfId="42" applyFont="1" applyAlignment="1">
      <alignment vertical="center"/>
    </xf>
    <xf numFmtId="0" fontId="36" fillId="0" borderId="0" xfId="42" applyFont="1" applyAlignment="1">
      <alignment vertical="center"/>
    </xf>
    <xf numFmtId="0" fontId="37" fillId="0" borderId="0" xfId="42" applyFont="1" applyAlignment="1">
      <alignment vertical="center"/>
    </xf>
    <xf numFmtId="0" fontId="28" fillId="0" borderId="0" xfId="42" applyFont="1" applyAlignment="1">
      <alignment vertical="center"/>
    </xf>
    <xf numFmtId="0" fontId="38" fillId="0" borderId="0" xfId="42" applyFont="1" applyAlignment="1">
      <alignment vertical="center"/>
    </xf>
    <xf numFmtId="166" fontId="39" fillId="0" borderId="0" xfId="42" applyNumberFormat="1" applyFont="1" applyAlignment="1">
      <alignment horizontal="center" vertical="center"/>
    </xf>
    <xf numFmtId="49" fontId="39" fillId="0" borderId="0" xfId="42" applyNumberFormat="1" applyFont="1" applyAlignment="1">
      <alignment horizontal="center" vertical="center"/>
    </xf>
    <xf numFmtId="0" fontId="39" fillId="0" borderId="0" xfId="42" applyFont="1" applyAlignment="1">
      <alignment vertical="center"/>
    </xf>
    <xf numFmtId="0" fontId="27" fillId="0" borderId="0" xfId="42" applyFont="1" applyAlignment="1">
      <alignment horizontal="center" vertical="center"/>
    </xf>
    <xf numFmtId="49" fontId="27" fillId="0" borderId="0" xfId="42" applyNumberFormat="1" applyFont="1" applyAlignment="1">
      <alignment vertical="center"/>
    </xf>
    <xf numFmtId="165" fontId="27" fillId="0" borderId="0" xfId="42" applyNumberFormat="1" applyFont="1" applyAlignment="1">
      <alignment horizontal="center" vertical="center"/>
    </xf>
    <xf numFmtId="49" fontId="27" fillId="0" borderId="0" xfId="42" applyNumberFormat="1" applyFont="1" applyAlignment="1">
      <alignment horizontal="center" vertical="center"/>
    </xf>
    <xf numFmtId="0" fontId="39" fillId="0" borderId="0" xfId="42" applyFont="1" applyAlignment="1">
      <alignment horizontal="left" vertical="center"/>
    </xf>
    <xf numFmtId="49" fontId="27" fillId="0" borderId="0" xfId="43" applyNumberFormat="1" applyFont="1" applyAlignment="1">
      <alignment horizontal="center" vertical="center"/>
    </xf>
    <xf numFmtId="167" fontId="27" fillId="0" borderId="0" xfId="43" applyNumberFormat="1" applyFont="1" applyAlignment="1">
      <alignment horizontal="center" vertical="center"/>
    </xf>
    <xf numFmtId="0" fontId="27" fillId="0" borderId="0" xfId="43" applyFont="1" applyAlignment="1">
      <alignment vertical="center"/>
    </xf>
    <xf numFmtId="0" fontId="27" fillId="0" borderId="0" xfId="42" applyFont="1" applyAlignment="1">
      <alignment horizontal="left" vertical="center"/>
    </xf>
    <xf numFmtId="49" fontId="50" fillId="0" borderId="0" xfId="42" applyNumberFormat="1" applyFont="1" applyAlignment="1">
      <alignment horizontal="center" vertical="center"/>
    </xf>
    <xf numFmtId="167" fontId="50" fillId="0" borderId="0" xfId="42" applyNumberFormat="1" applyFont="1" applyAlignment="1">
      <alignment horizontal="center" vertical="center"/>
    </xf>
    <xf numFmtId="0" fontId="50" fillId="0" borderId="0" xfId="42" applyFont="1" applyAlignment="1">
      <alignment vertical="center"/>
    </xf>
    <xf numFmtId="15" fontId="27" fillId="0" borderId="0" xfId="42" applyNumberFormat="1" applyFont="1" applyAlignment="1">
      <alignment horizontal="center" vertical="center"/>
    </xf>
    <xf numFmtId="14" fontId="27" fillId="0" borderId="0" xfId="42" applyNumberFormat="1" applyFont="1" applyAlignment="1">
      <alignment horizontal="center" vertical="center"/>
    </xf>
    <xf numFmtId="49" fontId="27" fillId="0" borderId="0" xfId="42" applyNumberFormat="1" applyFont="1" applyAlignment="1">
      <alignment horizontal="left" vertical="center"/>
    </xf>
    <xf numFmtId="14" fontId="27" fillId="0" borderId="0" xfId="42" applyNumberFormat="1" applyFont="1" applyAlignment="1">
      <alignment horizontal="left" vertical="center"/>
    </xf>
    <xf numFmtId="0" fontId="51" fillId="0" borderId="0" xfId="42" applyFont="1" applyAlignment="1">
      <alignment horizontal="center" vertical="center"/>
    </xf>
    <xf numFmtId="49" fontId="49" fillId="0" borderId="0" xfId="42" applyNumberFormat="1" applyFont="1" applyAlignment="1">
      <alignment horizontal="center" vertical="center"/>
    </xf>
    <xf numFmtId="165" fontId="49" fillId="0" borderId="0" xfId="42" applyNumberFormat="1" applyFont="1" applyAlignment="1">
      <alignment horizontal="center" vertical="center"/>
    </xf>
    <xf numFmtId="0" fontId="51" fillId="0" borderId="0" xfId="42" applyFont="1" applyAlignment="1">
      <alignment horizontal="left" vertical="center"/>
    </xf>
    <xf numFmtId="0" fontId="27" fillId="0" borderId="0" xfId="43" applyFont="1" applyAlignment="1">
      <alignment horizontal="center" vertical="center"/>
    </xf>
    <xf numFmtId="0" fontId="50" fillId="0" borderId="0" xfId="42" applyFont="1" applyAlignment="1">
      <alignment horizontal="center" vertical="center"/>
    </xf>
    <xf numFmtId="0" fontId="27" fillId="0" borderId="0" xfId="42" applyFont="1" applyFill="1" applyAlignment="1">
      <alignment horizontal="center" vertical="center"/>
    </xf>
    <xf numFmtId="0" fontId="7" fillId="0" borderId="66" xfId="1119" applyBorder="1" applyAlignment="1" applyProtection="1">
      <alignment horizontal="left" wrapText="1"/>
      <protection locked="0"/>
    </xf>
    <xf numFmtId="0" fontId="43" fillId="34" borderId="39" xfId="1119" applyFont="1" applyFill="1" applyBorder="1" applyAlignment="1">
      <alignment vertical="top" wrapText="1"/>
    </xf>
    <xf numFmtId="0" fontId="43" fillId="34" borderId="40" xfId="1119" applyFont="1" applyFill="1" applyBorder="1" applyAlignment="1">
      <alignment horizontal="center" vertical="center"/>
    </xf>
    <xf numFmtId="0" fontId="43" fillId="34" borderId="40" xfId="1119" applyFont="1" applyFill="1" applyBorder="1" applyAlignment="1">
      <alignment horizontal="center"/>
    </xf>
    <xf numFmtId="0" fontId="43" fillId="34" borderId="41" xfId="1119" applyFont="1" applyFill="1" applyBorder="1" applyAlignment="1">
      <alignment wrapText="1"/>
    </xf>
    <xf numFmtId="0" fontId="44" fillId="34" borderId="33" xfId="0" applyFont="1" applyFill="1" applyBorder="1"/>
    <xf numFmtId="167" fontId="27" fillId="0" borderId="0" xfId="42" applyNumberFormat="1" applyFont="1" applyAlignment="1">
      <alignment horizontal="left" vertical="center"/>
    </xf>
    <xf numFmtId="0" fontId="7" fillId="0" borderId="54" xfId="1119" applyBorder="1" applyAlignment="1" applyProtection="1">
      <alignment horizontal="left" wrapText="1"/>
      <protection locked="0"/>
    </xf>
    <xf numFmtId="0" fontId="43" fillId="0" borderId="43" xfId="1119" applyFont="1" applyBorder="1" applyAlignment="1" applyProtection="1">
      <alignment horizontal="left" wrapText="1"/>
      <protection locked="0"/>
    </xf>
    <xf numFmtId="0" fontId="43" fillId="0" borderId="0" xfId="1119" applyFont="1"/>
    <xf numFmtId="0" fontId="43" fillId="0" borderId="50" xfId="1119" applyFont="1" applyBorder="1" applyAlignment="1" applyProtection="1">
      <alignment horizontal="left" wrapText="1"/>
      <protection locked="0"/>
    </xf>
    <xf numFmtId="0" fontId="3" fillId="0" borderId="0" xfId="1119" applyFont="1"/>
    <xf numFmtId="0" fontId="43" fillId="34" borderId="67" xfId="1119" applyFont="1" applyFill="1" applyBorder="1" applyAlignment="1">
      <alignment wrapText="1"/>
    </xf>
    <xf numFmtId="164" fontId="44" fillId="33" borderId="32" xfId="0" applyNumberFormat="1" applyFont="1" applyFill="1" applyBorder="1" applyAlignment="1" applyProtection="1">
      <alignment horizontal="center" vertical="center" wrapText="1"/>
    </xf>
    <xf numFmtId="0" fontId="44" fillId="33" borderId="28" xfId="0" applyFont="1" applyFill="1" applyBorder="1" applyAlignment="1" applyProtection="1">
      <alignment horizontal="center" vertical="center" wrapText="1"/>
    </xf>
    <xf numFmtId="164" fontId="45" fillId="34" borderId="11" xfId="0" applyNumberFormat="1" applyFont="1" applyFill="1" applyBorder="1" applyAlignment="1" applyProtection="1">
      <alignment wrapText="1"/>
    </xf>
    <xf numFmtId="0" fontId="45" fillId="34" borderId="52" xfId="0" applyFont="1" applyFill="1" applyBorder="1" applyAlignment="1" applyProtection="1">
      <alignment horizontal="center"/>
    </xf>
    <xf numFmtId="0" fontId="45" fillId="34" borderId="11" xfId="0" applyFont="1" applyFill="1" applyBorder="1" applyAlignment="1" applyProtection="1">
      <alignment horizontal="center"/>
    </xf>
    <xf numFmtId="17" fontId="45" fillId="34" borderId="11" xfId="0" applyNumberFormat="1" applyFont="1" applyFill="1" applyBorder="1" applyAlignment="1" applyProtection="1">
      <alignment horizontal="center"/>
    </xf>
    <xf numFmtId="164" fontId="45" fillId="0" borderId="0" xfId="0" applyNumberFormat="1" applyFont="1" applyAlignment="1" applyProtection="1">
      <alignment wrapText="1"/>
    </xf>
    <xf numFmtId="0" fontId="45" fillId="0" borderId="0" xfId="0" applyFont="1" applyProtection="1"/>
    <xf numFmtId="0" fontId="45" fillId="0" borderId="0" xfId="0" applyFont="1" applyProtection="1">
      <protection locked="0"/>
    </xf>
    <xf numFmtId="0" fontId="45" fillId="0" borderId="39" xfId="0" applyFont="1" applyBorder="1" applyProtection="1">
      <protection locked="0"/>
    </xf>
    <xf numFmtId="0" fontId="44" fillId="0" borderId="40" xfId="0" applyFont="1" applyBorder="1" applyProtection="1">
      <protection locked="0"/>
    </xf>
    <xf numFmtId="0" fontId="45" fillId="0" borderId="40" xfId="0" applyFont="1" applyBorder="1" applyAlignment="1" applyProtection="1">
      <alignment horizontal="center"/>
      <protection locked="0"/>
    </xf>
    <xf numFmtId="0" fontId="45" fillId="0" borderId="40" xfId="0" applyFont="1" applyBorder="1" applyProtection="1">
      <protection locked="0"/>
    </xf>
    <xf numFmtId="0" fontId="45" fillId="0" borderId="41" xfId="0" applyFont="1" applyBorder="1" applyAlignment="1" applyProtection="1">
      <alignment horizontal="left"/>
      <protection locked="0"/>
    </xf>
    <xf numFmtId="0" fontId="44" fillId="33" borderId="29" xfId="0" applyFont="1" applyFill="1" applyBorder="1" applyAlignment="1" applyProtection="1">
      <alignment horizontal="center" vertical="center" wrapText="1"/>
    </xf>
    <xf numFmtId="0" fontId="45" fillId="34" borderId="16" xfId="0" applyFont="1" applyFill="1" applyBorder="1" applyAlignment="1" applyProtection="1">
      <alignment horizontal="center"/>
    </xf>
    <xf numFmtId="14" fontId="27" fillId="0" borderId="0" xfId="0" applyNumberFormat="1" applyFont="1" applyAlignment="1">
      <alignment horizontal="center" vertical="center"/>
    </xf>
    <xf numFmtId="165" fontId="27" fillId="0" borderId="0" xfId="42" applyNumberFormat="1" applyFont="1" applyAlignment="1">
      <alignment horizontal="left" vertical="center"/>
    </xf>
    <xf numFmtId="0" fontId="45" fillId="0" borderId="60" xfId="0" applyFont="1" applyBorder="1" applyProtection="1">
      <protection locked="0"/>
    </xf>
    <xf numFmtId="0" fontId="45" fillId="0" borderId="22" xfId="0" applyFont="1" applyBorder="1" applyProtection="1">
      <protection locked="0"/>
    </xf>
    <xf numFmtId="0" fontId="43" fillId="0" borderId="69" xfId="1119" applyFont="1" applyBorder="1" applyAlignment="1" applyProtection="1">
      <alignment horizontal="left" wrapText="1"/>
      <protection locked="0"/>
    </xf>
    <xf numFmtId="0" fontId="43" fillId="34" borderId="11" xfId="1119" applyFont="1" applyFill="1" applyBorder="1" applyAlignment="1">
      <alignment wrapText="1"/>
    </xf>
    <xf numFmtId="0" fontId="44" fillId="0" borderId="59" xfId="0" applyFont="1" applyBorder="1" applyProtection="1">
      <protection locked="0"/>
    </xf>
    <xf numFmtId="0" fontId="44" fillId="33" borderId="28" xfId="0" applyFont="1" applyFill="1" applyBorder="1" applyAlignment="1" applyProtection="1">
      <alignment horizontal="center" vertical="center" wrapText="1"/>
      <protection locked="0"/>
    </xf>
    <xf numFmtId="0" fontId="48" fillId="0" borderId="54" xfId="1119" applyFont="1" applyBorder="1" applyAlignment="1" applyProtection="1">
      <alignment horizontal="left" wrapText="1"/>
      <protection locked="0"/>
    </xf>
    <xf numFmtId="0" fontId="48" fillId="0" borderId="43" xfId="1119" applyFont="1" applyBorder="1" applyAlignment="1" applyProtection="1">
      <alignment horizontal="left" wrapText="1"/>
      <protection locked="0"/>
    </xf>
    <xf numFmtId="0" fontId="48" fillId="0" borderId="43" xfId="1119" applyNumberFormat="1" applyFont="1" applyBorder="1" applyAlignment="1" applyProtection="1">
      <alignment horizontal="left" wrapText="1"/>
      <protection locked="0"/>
    </xf>
    <xf numFmtId="0" fontId="48" fillId="0" borderId="50" xfId="1119" applyFont="1" applyBorder="1" applyAlignment="1" applyProtection="1">
      <alignment horizontal="left" wrapText="1"/>
      <protection locked="0"/>
    </xf>
    <xf numFmtId="0" fontId="48" fillId="0" borderId="42" xfId="1119" applyFont="1" applyBorder="1" applyAlignment="1" applyProtection="1">
      <alignment horizontal="left" wrapText="1"/>
      <protection locked="0"/>
    </xf>
    <xf numFmtId="0" fontId="48" fillId="0" borderId="42" xfId="1119" applyFont="1" applyBorder="1" applyAlignment="1" applyProtection="1">
      <alignment wrapText="1"/>
      <protection locked="0"/>
    </xf>
    <xf numFmtId="0" fontId="48" fillId="0" borderId="68" xfId="1119" applyNumberFormat="1" applyFont="1" applyBorder="1" applyAlignment="1" applyProtection="1">
      <alignment horizontal="left" wrapText="1"/>
      <protection locked="0"/>
    </xf>
    <xf numFmtId="0" fontId="48" fillId="0" borderId="44" xfId="1119" applyFont="1" applyBorder="1" applyAlignment="1" applyProtection="1">
      <alignment horizontal="left" wrapText="1"/>
      <protection locked="0"/>
    </xf>
    <xf numFmtId="0" fontId="48" fillId="0" borderId="68" xfId="1119" applyFont="1" applyBorder="1" applyAlignment="1" applyProtection="1">
      <alignment horizontal="left" wrapText="1"/>
      <protection locked="0"/>
    </xf>
    <xf numFmtId="0" fontId="48" fillId="0" borderId="50" xfId="1119" applyNumberFormat="1" applyFont="1" applyBorder="1" applyAlignment="1" applyProtection="1">
      <alignment horizontal="left" wrapText="1"/>
      <protection locked="0"/>
    </xf>
    <xf numFmtId="0" fontId="48" fillId="0" borderId="0" xfId="1119" applyFont="1" applyAlignment="1" applyProtection="1">
      <alignment horizontal="left" wrapText="1"/>
      <protection locked="0"/>
    </xf>
    <xf numFmtId="164" fontId="21" fillId="34" borderId="11" xfId="0" applyNumberFormat="1" applyFont="1" applyFill="1" applyBorder="1" applyAlignment="1" applyProtection="1">
      <alignment wrapText="1"/>
    </xf>
    <xf numFmtId="0" fontId="21" fillId="0" borderId="22" xfId="0" applyFont="1" applyBorder="1" applyProtection="1">
      <protection locked="0"/>
    </xf>
    <xf numFmtId="0" fontId="43" fillId="34" borderId="70" xfId="1119" applyFont="1" applyFill="1" applyBorder="1" applyAlignment="1">
      <alignment wrapText="1"/>
    </xf>
    <xf numFmtId="0" fontId="43" fillId="34" borderId="71" xfId="1119" applyFont="1" applyFill="1" applyBorder="1" applyAlignment="1">
      <alignment wrapText="1"/>
    </xf>
    <xf numFmtId="0" fontId="44" fillId="33" borderId="27" xfId="0" applyFont="1" applyFill="1" applyBorder="1" applyAlignment="1" applyProtection="1">
      <alignment horizontal="center" vertical="center" wrapText="1"/>
    </xf>
    <xf numFmtId="0" fontId="44" fillId="35" borderId="28" xfId="0" applyFont="1" applyFill="1" applyBorder="1" applyAlignment="1" applyProtection="1">
      <alignment horizontal="center" vertical="center" wrapText="1"/>
    </xf>
    <xf numFmtId="0" fontId="44" fillId="35" borderId="29" xfId="0" applyFont="1" applyFill="1" applyBorder="1" applyAlignment="1" applyProtection="1">
      <alignment horizontal="center" vertical="center" wrapText="1"/>
    </xf>
    <xf numFmtId="0" fontId="45" fillId="34" borderId="16" xfId="0" applyFont="1" applyFill="1" applyBorder="1" applyAlignment="1" applyProtection="1">
      <alignment horizontal="center" vertical="center"/>
    </xf>
    <xf numFmtId="0" fontId="45" fillId="34" borderId="16" xfId="0" applyFont="1" applyFill="1" applyBorder="1" applyAlignment="1" applyProtection="1">
      <alignment horizontal="center" vertical="center" wrapText="1"/>
    </xf>
    <xf numFmtId="164" fontId="45" fillId="34" borderId="16" xfId="0" applyNumberFormat="1" applyFont="1" applyFill="1" applyBorder="1" applyAlignment="1" applyProtection="1">
      <alignment wrapText="1"/>
    </xf>
    <xf numFmtId="0" fontId="45" fillId="34" borderId="11" xfId="0" applyFont="1" applyFill="1" applyBorder="1" applyAlignment="1" applyProtection="1">
      <alignment horizontal="center" vertical="center"/>
    </xf>
    <xf numFmtId="0" fontId="45" fillId="34" borderId="11" xfId="0" applyFont="1" applyFill="1" applyBorder="1" applyAlignment="1" applyProtection="1">
      <alignment vertical="center"/>
    </xf>
    <xf numFmtId="0" fontId="45" fillId="34" borderId="11" xfId="0" applyFont="1" applyFill="1" applyBorder="1" applyAlignment="1" applyProtection="1">
      <alignment horizontal="center" vertical="center" wrapText="1"/>
    </xf>
    <xf numFmtId="0" fontId="21" fillId="0" borderId="0" xfId="0" applyFont="1" applyProtection="1"/>
    <xf numFmtId="0" fontId="45" fillId="36" borderId="11" xfId="0" applyFont="1" applyFill="1" applyBorder="1" applyAlignment="1" applyProtection="1">
      <alignment horizontal="center"/>
    </xf>
    <xf numFmtId="0" fontId="45" fillId="34" borderId="11" xfId="0" applyFont="1" applyFill="1" applyBorder="1" applyAlignment="1" applyProtection="1">
      <alignment vertical="center" wrapText="1"/>
    </xf>
    <xf numFmtId="0" fontId="45" fillId="34" borderId="21" xfId="0" applyFont="1" applyFill="1" applyBorder="1" applyAlignment="1" applyProtection="1">
      <alignment vertical="center" wrapText="1"/>
    </xf>
    <xf numFmtId="0" fontId="45" fillId="34" borderId="21" xfId="0" applyFont="1" applyFill="1" applyBorder="1" applyAlignment="1" applyProtection="1">
      <alignment vertical="center"/>
    </xf>
    <xf numFmtId="0" fontId="52" fillId="0" borderId="0" xfId="0" applyFont="1" applyProtection="1"/>
    <xf numFmtId="0" fontId="21" fillId="34" borderId="11" xfId="0" applyFont="1" applyFill="1" applyBorder="1" applyAlignment="1" applyProtection="1">
      <alignment horizontal="center" vertical="center" wrapText="1"/>
    </xf>
    <xf numFmtId="0" fontId="45" fillId="34" borderId="22" xfId="0" applyFont="1" applyFill="1" applyBorder="1" applyAlignment="1" applyProtection="1">
      <alignment vertical="center"/>
    </xf>
    <xf numFmtId="0" fontId="45" fillId="34" borderId="23" xfId="0" applyFont="1" applyFill="1" applyBorder="1" applyAlignment="1" applyProtection="1">
      <alignment vertical="center"/>
    </xf>
    <xf numFmtId="0" fontId="45" fillId="34" borderId="21" xfId="0" applyFont="1" applyFill="1" applyBorder="1" applyAlignment="1" applyProtection="1">
      <alignment horizontal="left" vertical="center"/>
    </xf>
    <xf numFmtId="0" fontId="45" fillId="34" borderId="20" xfId="0" applyFont="1" applyFill="1" applyBorder="1" applyAlignment="1" applyProtection="1">
      <alignment horizontal="left" vertical="center"/>
    </xf>
    <xf numFmtId="0" fontId="45" fillId="34" borderId="11" xfId="0" applyFont="1" applyFill="1" applyBorder="1" applyAlignment="1" applyProtection="1">
      <alignment horizontal="left" vertical="center"/>
    </xf>
    <xf numFmtId="0" fontId="46" fillId="0" borderId="0" xfId="0" applyFont="1" applyProtection="1"/>
    <xf numFmtId="0" fontId="45" fillId="34" borderId="23" xfId="0" applyFont="1" applyFill="1" applyBorder="1" applyAlignment="1" applyProtection="1">
      <alignment horizontal="left" vertical="center"/>
    </xf>
    <xf numFmtId="0" fontId="44" fillId="33" borderId="27" xfId="0" applyFont="1" applyFill="1" applyBorder="1" applyAlignment="1" applyProtection="1">
      <alignment horizontal="left" wrapText="1"/>
    </xf>
    <xf numFmtId="0" fontId="44" fillId="33" borderId="27" xfId="0" applyFont="1" applyFill="1" applyBorder="1" applyAlignment="1" applyProtection="1">
      <alignment horizontal="center" wrapText="1"/>
    </xf>
    <xf numFmtId="0" fontId="44" fillId="33" borderId="28" xfId="0" applyFont="1" applyFill="1" applyBorder="1" applyAlignment="1" applyProtection="1">
      <alignment horizontal="center" wrapText="1"/>
    </xf>
    <xf numFmtId="0" fontId="44" fillId="33" borderId="28" xfId="0" applyFont="1" applyFill="1" applyBorder="1" applyAlignment="1" applyProtection="1">
      <alignment horizontal="left" wrapText="1"/>
    </xf>
    <xf numFmtId="0" fontId="53" fillId="34" borderId="61" xfId="0" applyFont="1" applyFill="1" applyBorder="1" applyAlignment="1" applyProtection="1">
      <alignment horizontal="left" vertical="center"/>
    </xf>
    <xf numFmtId="0" fontId="53" fillId="34" borderId="62" xfId="0" applyFont="1" applyFill="1" applyBorder="1" applyAlignment="1" applyProtection="1">
      <alignment horizontal="center" vertical="center"/>
    </xf>
    <xf numFmtId="0" fontId="54" fillId="34" borderId="63" xfId="0" applyFont="1" applyFill="1" applyBorder="1" applyAlignment="1" applyProtection="1">
      <alignment horizontal="center" vertical="center"/>
    </xf>
    <xf numFmtId="0" fontId="45" fillId="34" borderId="63" xfId="0" applyFont="1" applyFill="1" applyBorder="1" applyAlignment="1" applyProtection="1">
      <alignment horizontal="center"/>
    </xf>
    <xf numFmtId="0" fontId="45" fillId="34" borderId="63" xfId="0" applyFont="1" applyFill="1" applyBorder="1" applyProtection="1"/>
    <xf numFmtId="0" fontId="45" fillId="34" borderId="64" xfId="0" applyFont="1" applyFill="1" applyBorder="1" applyAlignment="1" applyProtection="1">
      <alignment horizontal="left"/>
    </xf>
    <xf numFmtId="0" fontId="53" fillId="34" borderId="46" xfId="0" applyFont="1" applyFill="1" applyBorder="1" applyAlignment="1" applyProtection="1">
      <alignment horizontal="left" vertical="center"/>
    </xf>
    <xf numFmtId="0" fontId="53" fillId="34" borderId="23" xfId="0" applyFont="1" applyFill="1" applyBorder="1" applyAlignment="1" applyProtection="1">
      <alignment horizontal="center" vertical="center"/>
    </xf>
    <xf numFmtId="0" fontId="54" fillId="34" borderId="11" xfId="0" applyFont="1" applyFill="1" applyBorder="1" applyAlignment="1" applyProtection="1">
      <alignment horizontal="center" vertical="center"/>
    </xf>
    <xf numFmtId="0" fontId="45" fillId="34" borderId="11" xfId="0" applyFont="1" applyFill="1" applyBorder="1" applyProtection="1"/>
    <xf numFmtId="0" fontId="45" fillId="34" borderId="21" xfId="0" applyFont="1" applyFill="1" applyBorder="1" applyAlignment="1" applyProtection="1">
      <alignment horizontal="left"/>
    </xf>
    <xf numFmtId="164" fontId="45" fillId="34" borderId="11" xfId="0" applyNumberFormat="1" applyFont="1" applyFill="1" applyBorder="1" applyAlignment="1" applyProtection="1"/>
    <xf numFmtId="0" fontId="29" fillId="34" borderId="23" xfId="0" applyFont="1" applyFill="1" applyBorder="1" applyAlignment="1" applyProtection="1">
      <alignment horizontal="center" vertical="center"/>
    </xf>
    <xf numFmtId="0" fontId="21" fillId="34" borderId="11" xfId="0" applyFont="1" applyFill="1" applyBorder="1" applyAlignment="1" applyProtection="1">
      <alignment horizontal="center"/>
    </xf>
    <xf numFmtId="0" fontId="45" fillId="36" borderId="21" xfId="0" applyFont="1" applyFill="1" applyBorder="1" applyAlignment="1" applyProtection="1">
      <alignment horizontal="left"/>
    </xf>
    <xf numFmtId="0" fontId="44" fillId="33" borderId="31" xfId="0" applyFont="1" applyFill="1" applyBorder="1" applyAlignment="1" applyProtection="1">
      <alignment horizontal="center" vertical="center" wrapText="1"/>
    </xf>
    <xf numFmtId="0" fontId="26" fillId="0" borderId="0" xfId="0" applyFont="1" applyProtection="1"/>
    <xf numFmtId="0" fontId="45" fillId="34" borderId="26" xfId="0" applyFont="1" applyFill="1" applyBorder="1" applyAlignment="1" applyProtection="1">
      <alignment horizontal="center" vertical="center"/>
    </xf>
    <xf numFmtId="0" fontId="45" fillId="34" borderId="24" xfId="0" applyFont="1" applyFill="1" applyBorder="1" applyAlignment="1" applyProtection="1">
      <alignment horizontal="center" vertical="center" wrapText="1"/>
    </xf>
    <xf numFmtId="0" fontId="45" fillId="34" borderId="23" xfId="0" applyFont="1" applyFill="1" applyBorder="1" applyAlignment="1" applyProtection="1">
      <alignment horizontal="center" vertical="center"/>
    </xf>
    <xf numFmtId="0" fontId="45" fillId="36" borderId="11" xfId="0" applyFont="1" applyFill="1" applyBorder="1" applyAlignment="1" applyProtection="1">
      <alignment horizontal="center" vertical="center" wrapText="1"/>
    </xf>
    <xf numFmtId="0" fontId="45" fillId="34" borderId="0" xfId="0" applyFont="1" applyFill="1" applyAlignment="1" applyProtection="1">
      <alignment horizontal="left" vertical="center"/>
    </xf>
    <xf numFmtId="0" fontId="45" fillId="34" borderId="35" xfId="0" applyFont="1" applyFill="1" applyBorder="1" applyAlignment="1" applyProtection="1">
      <alignment horizontal="left" vertical="center"/>
    </xf>
    <xf numFmtId="49" fontId="45" fillId="34" borderId="23" xfId="0" applyNumberFormat="1" applyFont="1" applyFill="1" applyBorder="1" applyAlignment="1" applyProtection="1">
      <alignment horizontal="center" vertical="center"/>
    </xf>
    <xf numFmtId="49" fontId="45" fillId="34" borderId="11" xfId="0" applyNumberFormat="1" applyFont="1" applyFill="1" applyBorder="1" applyAlignment="1" applyProtection="1">
      <alignment horizontal="center" vertical="center"/>
    </xf>
    <xf numFmtId="49" fontId="45" fillId="34" borderId="11" xfId="0" applyNumberFormat="1" applyFont="1" applyFill="1" applyBorder="1" applyAlignment="1" applyProtection="1">
      <alignment vertical="center"/>
    </xf>
    <xf numFmtId="49" fontId="45" fillId="34" borderId="11" xfId="0" applyNumberFormat="1" applyFont="1" applyFill="1" applyBorder="1" applyAlignment="1" applyProtection="1">
      <alignment horizontal="center" vertical="center" wrapText="1"/>
    </xf>
    <xf numFmtId="49" fontId="26" fillId="0" borderId="0" xfId="0" applyNumberFormat="1" applyFont="1" applyProtection="1"/>
    <xf numFmtId="0" fontId="35" fillId="0" borderId="0" xfId="0" applyFont="1" applyProtection="1"/>
    <xf numFmtId="0" fontId="0" fillId="0" borderId="0" xfId="0" applyProtection="1"/>
    <xf numFmtId="0" fontId="45" fillId="34" borderId="22" xfId="0" applyFont="1" applyFill="1" applyBorder="1" applyAlignment="1" applyProtection="1">
      <alignment horizontal="left" vertical="center"/>
    </xf>
    <xf numFmtId="0" fontId="45" fillId="0" borderId="0" xfId="0" applyFont="1" applyBorder="1" applyAlignment="1" applyProtection="1">
      <alignment horizontal="center" vertical="center"/>
    </xf>
    <xf numFmtId="0" fontId="45" fillId="0" borderId="0" xfId="0" applyFont="1" applyAlignment="1" applyProtection="1">
      <alignment horizontal="center" vertical="center"/>
    </xf>
    <xf numFmtId="0" fontId="45" fillId="0" borderId="0" xfId="0" applyFont="1" applyAlignment="1" applyProtection="1">
      <alignment horizontal="left" vertical="center"/>
    </xf>
    <xf numFmtId="0" fontId="45" fillId="0" borderId="0" xfId="0" applyFont="1" applyAlignment="1" applyProtection="1">
      <alignment horizontal="left" vertical="center" wrapText="1"/>
    </xf>
    <xf numFmtId="0" fontId="45" fillId="0" borderId="0" xfId="0" applyFont="1" applyAlignment="1" applyProtection="1">
      <alignment horizontal="center" vertical="center" wrapText="1"/>
    </xf>
    <xf numFmtId="0" fontId="44" fillId="35" borderId="28" xfId="0" applyFont="1" applyFill="1" applyBorder="1" applyAlignment="1" applyProtection="1">
      <alignment horizontal="left" wrapText="1"/>
    </xf>
    <xf numFmtId="0" fontId="44" fillId="35" borderId="31" xfId="0" applyFont="1" applyFill="1" applyBorder="1" applyAlignment="1" applyProtection="1">
      <alignment horizontal="left" wrapText="1"/>
    </xf>
    <xf numFmtId="0" fontId="45" fillId="36" borderId="64" xfId="0" applyFont="1" applyFill="1" applyBorder="1" applyAlignment="1" applyProtection="1">
      <alignment horizontal="left"/>
    </xf>
    <xf numFmtId="0" fontId="45" fillId="36" borderId="24" xfId="0" applyFont="1" applyFill="1" applyBorder="1" applyAlignment="1" applyProtection="1">
      <alignment horizontal="left"/>
    </xf>
    <xf numFmtId="0" fontId="45" fillId="36" borderId="23" xfId="0" applyFont="1" applyFill="1" applyBorder="1" applyProtection="1"/>
    <xf numFmtId="0" fontId="53" fillId="36" borderId="46" xfId="0" applyFont="1" applyFill="1" applyBorder="1" applyAlignment="1" applyProtection="1">
      <alignment horizontal="left" vertical="center"/>
    </xf>
    <xf numFmtId="0" fontId="29" fillId="36" borderId="46" xfId="0" applyFont="1" applyFill="1" applyBorder="1" applyAlignment="1" applyProtection="1">
      <alignment horizontal="left" vertical="center"/>
    </xf>
    <xf numFmtId="0" fontId="57" fillId="34" borderId="11" xfId="0" applyFont="1" applyFill="1" applyBorder="1" applyAlignment="1" applyProtection="1">
      <alignment horizontal="center" vertical="center"/>
    </xf>
    <xf numFmtId="0" fontId="21" fillId="34" borderId="11" xfId="0" applyFont="1" applyFill="1" applyBorder="1" applyProtection="1"/>
    <xf numFmtId="0" fontId="21" fillId="34" borderId="21" xfId="0" applyFont="1" applyFill="1" applyBorder="1" applyAlignment="1" applyProtection="1">
      <alignment horizontal="left"/>
    </xf>
    <xf numFmtId="0" fontId="21" fillId="36" borderId="24" xfId="0" applyFont="1" applyFill="1" applyBorder="1" applyAlignment="1" applyProtection="1">
      <alignment horizontal="left"/>
    </xf>
    <xf numFmtId="0" fontId="40" fillId="0" borderId="0" xfId="0" applyFont="1" applyProtection="1"/>
    <xf numFmtId="0" fontId="55" fillId="0" borderId="0" xfId="0" applyFont="1" applyProtection="1"/>
    <xf numFmtId="0" fontId="25" fillId="0" borderId="0" xfId="0" applyFont="1" applyProtection="1"/>
    <xf numFmtId="0" fontId="45" fillId="0" borderId="0" xfId="0" applyFont="1" applyAlignment="1" applyProtection="1">
      <alignment vertical="center"/>
    </xf>
    <xf numFmtId="0" fontId="45" fillId="0" borderId="0" xfId="0" applyFont="1" applyAlignment="1" applyProtection="1">
      <alignment vertical="center" wrapText="1"/>
    </xf>
    <xf numFmtId="0" fontId="21" fillId="34" borderId="11" xfId="0" applyFont="1" applyFill="1" applyBorder="1" applyAlignment="1" applyProtection="1">
      <alignment horizontal="center" vertical="center"/>
    </xf>
    <xf numFmtId="0" fontId="21" fillId="34" borderId="11" xfId="0" applyFont="1" applyFill="1" applyBorder="1" applyAlignment="1" applyProtection="1">
      <alignment vertical="center"/>
    </xf>
    <xf numFmtId="0" fontId="29" fillId="34" borderId="46" xfId="0" applyFont="1" applyFill="1" applyBorder="1" applyAlignment="1" applyProtection="1">
      <alignment horizontal="left" vertical="center"/>
    </xf>
    <xf numFmtId="164" fontId="0" fillId="0" borderId="11" xfId="0" applyNumberFormat="1" applyFont="1" applyBorder="1" applyAlignment="1" applyProtection="1">
      <alignment horizontal="center" wrapText="1"/>
      <protection locked="0"/>
    </xf>
    <xf numFmtId="0" fontId="45" fillId="34" borderId="11" xfId="0" applyFont="1" applyFill="1" applyBorder="1" applyAlignment="1" applyProtection="1">
      <alignment horizontal="left" vertical="center"/>
    </xf>
    <xf numFmtId="164" fontId="21" fillId="0" borderId="11" xfId="0" applyNumberFormat="1" applyFont="1" applyBorder="1" applyAlignment="1" applyProtection="1">
      <alignment horizontal="center" wrapText="1"/>
      <protection locked="0"/>
    </xf>
    <xf numFmtId="0" fontId="21" fillId="34" borderId="23" xfId="0" applyFont="1" applyFill="1" applyBorder="1" applyAlignment="1" applyProtection="1">
      <alignment horizontal="center" vertical="center"/>
    </xf>
    <xf numFmtId="0" fontId="21" fillId="0" borderId="11" xfId="0" applyFont="1" applyFill="1" applyBorder="1" applyAlignment="1" applyProtection="1">
      <alignment horizontal="center"/>
      <protection locked="0"/>
    </xf>
    <xf numFmtId="0" fontId="21" fillId="34" borderId="11" xfId="0" applyFont="1" applyFill="1" applyBorder="1" applyAlignment="1" applyProtection="1">
      <alignment horizontal="left" vertical="center"/>
    </xf>
    <xf numFmtId="0" fontId="21" fillId="34" borderId="21" xfId="0" applyFont="1" applyFill="1" applyBorder="1" applyAlignment="1" applyProtection="1">
      <alignment vertical="center"/>
    </xf>
    <xf numFmtId="0" fontId="6" fillId="0" borderId="0" xfId="1119" applyFont="1" applyAlignment="1">
      <alignment horizontal="left" vertical="center" wrapText="1"/>
    </xf>
    <xf numFmtId="0" fontId="2" fillId="0" borderId="0" xfId="1119" applyFont="1" applyAlignment="1">
      <alignment horizontal="left" vertical="center" wrapText="1"/>
    </xf>
    <xf numFmtId="0" fontId="7" fillId="0" borderId="0" xfId="1119" applyAlignment="1">
      <alignment horizontal="left" vertical="center" wrapText="1"/>
    </xf>
    <xf numFmtId="0" fontId="0" fillId="0" borderId="0" xfId="0" applyAlignment="1">
      <alignment horizontal="left" vertical="top" wrapText="1"/>
    </xf>
    <xf numFmtId="0" fontId="37" fillId="0" borderId="0" xfId="42" applyFont="1" applyAlignment="1">
      <alignment horizontal="left"/>
    </xf>
    <xf numFmtId="0" fontId="23" fillId="33" borderId="11" xfId="0" applyFont="1" applyFill="1" applyBorder="1" applyAlignment="1">
      <alignment horizontal="left"/>
    </xf>
    <xf numFmtId="0" fontId="45" fillId="34" borderId="20" xfId="0" applyFont="1" applyFill="1" applyBorder="1" applyAlignment="1">
      <alignment horizontal="left" wrapText="1"/>
    </xf>
    <xf numFmtId="0" fontId="45" fillId="34" borderId="16" xfId="0" applyFont="1" applyFill="1" applyBorder="1" applyAlignment="1">
      <alignment horizontal="left" wrapText="1"/>
    </xf>
    <xf numFmtId="0" fontId="45" fillId="34" borderId="21" xfId="0" applyFont="1" applyFill="1" applyBorder="1" applyAlignment="1" applyProtection="1">
      <alignment horizontal="left" vertical="center"/>
    </xf>
    <xf numFmtId="0" fontId="45" fillId="34" borderId="23" xfId="0" applyFont="1" applyFill="1" applyBorder="1" applyAlignment="1" applyProtection="1">
      <alignment horizontal="left" vertical="center"/>
    </xf>
    <xf numFmtId="0" fontId="21" fillId="34" borderId="21" xfId="0" applyFont="1" applyFill="1" applyBorder="1" applyAlignment="1" applyProtection="1">
      <alignment horizontal="left" vertical="center"/>
    </xf>
    <xf numFmtId="0" fontId="21" fillId="34" borderId="22" xfId="0" applyFont="1" applyFill="1" applyBorder="1" applyAlignment="1" applyProtection="1">
      <alignment horizontal="left" vertical="center"/>
    </xf>
    <xf numFmtId="0" fontId="21" fillId="34" borderId="23" xfId="0" applyFont="1" applyFill="1" applyBorder="1" applyAlignment="1" applyProtection="1">
      <alignment horizontal="left" vertical="center"/>
    </xf>
    <xf numFmtId="0" fontId="45" fillId="34" borderId="22" xfId="0" applyFont="1" applyFill="1" applyBorder="1" applyAlignment="1" applyProtection="1">
      <alignment horizontal="left" vertical="center"/>
    </xf>
    <xf numFmtId="0" fontId="45" fillId="34" borderId="11" xfId="0" applyFont="1" applyFill="1" applyBorder="1" applyAlignment="1" applyProtection="1">
      <alignment vertical="center" wrapText="1"/>
    </xf>
    <xf numFmtId="0" fontId="45" fillId="34" borderId="11" xfId="0" applyFont="1" applyFill="1" applyBorder="1" applyAlignment="1" applyProtection="1">
      <alignment vertical="center"/>
    </xf>
    <xf numFmtId="0" fontId="45" fillId="34" borderId="21" xfId="0" applyFont="1" applyFill="1" applyBorder="1" applyAlignment="1" applyProtection="1">
      <alignment vertical="center"/>
    </xf>
    <xf numFmtId="0" fontId="45" fillId="34" borderId="22" xfId="0" applyFont="1" applyFill="1" applyBorder="1" applyAlignment="1" applyProtection="1">
      <alignment vertical="center"/>
    </xf>
    <xf numFmtId="0" fontId="45" fillId="34" borderId="23" xfId="0" applyFont="1" applyFill="1" applyBorder="1" applyAlignment="1" applyProtection="1">
      <alignment vertical="center"/>
    </xf>
    <xf numFmtId="0" fontId="44" fillId="33" borderId="28" xfId="0" applyFont="1" applyFill="1" applyBorder="1" applyAlignment="1" applyProtection="1">
      <alignment vertical="center" wrapText="1"/>
    </xf>
    <xf numFmtId="0" fontId="45" fillId="34" borderId="16" xfId="0" applyFont="1" applyFill="1" applyBorder="1" applyAlignment="1" applyProtection="1">
      <alignment vertical="center"/>
    </xf>
    <xf numFmtId="0" fontId="45" fillId="34" borderId="21" xfId="0" applyFont="1" applyFill="1" applyBorder="1" applyAlignment="1" applyProtection="1">
      <alignment vertical="center" wrapText="1"/>
    </xf>
    <xf numFmtId="0" fontId="45" fillId="34" borderId="23" xfId="0" applyFont="1" applyFill="1" applyBorder="1" applyAlignment="1" applyProtection="1">
      <alignment vertical="center" wrapText="1"/>
    </xf>
    <xf numFmtId="49" fontId="45" fillId="34" borderId="21" xfId="0" applyNumberFormat="1" applyFont="1" applyFill="1" applyBorder="1" applyAlignment="1" applyProtection="1">
      <alignment horizontal="left" vertical="center"/>
    </xf>
    <xf numFmtId="49" fontId="45" fillId="34" borderId="22" xfId="0" applyNumberFormat="1" applyFont="1" applyFill="1" applyBorder="1" applyAlignment="1" applyProtection="1">
      <alignment horizontal="left" vertical="center"/>
    </xf>
    <xf numFmtId="49" fontId="45" fillId="34" borderId="23" xfId="0" applyNumberFormat="1" applyFont="1" applyFill="1" applyBorder="1" applyAlignment="1" applyProtection="1">
      <alignment horizontal="left" vertical="center"/>
    </xf>
    <xf numFmtId="0" fontId="45" fillId="34" borderId="11" xfId="0" applyFont="1" applyFill="1" applyBorder="1" applyAlignment="1" applyProtection="1">
      <alignment horizontal="left" vertical="center"/>
    </xf>
    <xf numFmtId="0" fontId="45" fillId="34" borderId="21" xfId="0" applyFont="1" applyFill="1" applyBorder="1" applyAlignment="1" applyProtection="1">
      <alignment horizontal="left" vertical="center" wrapText="1"/>
    </xf>
    <xf numFmtId="0" fontId="45" fillId="34" borderId="22" xfId="0" applyFont="1" applyFill="1" applyBorder="1" applyAlignment="1" applyProtection="1">
      <alignment horizontal="left" vertical="center" wrapText="1"/>
    </xf>
    <xf numFmtId="0" fontId="45" fillId="34" borderId="23" xfId="0" applyFont="1" applyFill="1" applyBorder="1" applyAlignment="1" applyProtection="1">
      <alignment horizontal="left" vertical="center" wrapText="1"/>
    </xf>
    <xf numFmtId="0" fontId="45" fillId="34" borderId="22" xfId="0" applyFont="1" applyFill="1" applyBorder="1" applyAlignment="1" applyProtection="1">
      <alignment vertical="center" wrapText="1"/>
    </xf>
    <xf numFmtId="0" fontId="44" fillId="33" borderId="29" xfId="0" applyFont="1" applyFill="1" applyBorder="1" applyAlignment="1" applyProtection="1">
      <alignment horizontal="center" vertical="center" wrapText="1"/>
    </xf>
    <xf numFmtId="0" fontId="44" fillId="33" borderId="30" xfId="0" applyFont="1" applyFill="1" applyBorder="1" applyAlignment="1" applyProtection="1">
      <alignment horizontal="center" vertical="center" wrapText="1"/>
    </xf>
    <xf numFmtId="0" fontId="44" fillId="33" borderId="31" xfId="0" applyFont="1" applyFill="1" applyBorder="1" applyAlignment="1" applyProtection="1">
      <alignment horizontal="center" vertical="center" wrapText="1"/>
    </xf>
    <xf numFmtId="0" fontId="45" fillId="34" borderId="24" xfId="0" applyFont="1" applyFill="1" applyBorder="1" applyAlignment="1" applyProtection="1">
      <alignment horizontal="left" vertical="center"/>
    </xf>
    <xf numFmtId="0" fontId="45" fillId="34" borderId="25" xfId="0" applyFont="1" applyFill="1" applyBorder="1" applyAlignment="1" applyProtection="1">
      <alignment horizontal="left" vertical="center"/>
    </xf>
    <xf numFmtId="0" fontId="45" fillId="34" borderId="26" xfId="0" applyFont="1" applyFill="1" applyBorder="1" applyAlignment="1" applyProtection="1">
      <alignment horizontal="left" vertical="center"/>
    </xf>
  </cellXfs>
  <cellStyles count="655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Followed Hyperlink" xfId="3655" builtinId="9" hidden="1"/>
    <cellStyle name="Followed Hyperlink" xfId="3657" builtinId="9" hidden="1"/>
    <cellStyle name="Followed Hyperlink" xfId="3659" builtinId="9" hidden="1"/>
    <cellStyle name="Followed Hyperlink" xfId="3661" builtinId="9" hidden="1"/>
    <cellStyle name="Followed Hyperlink" xfId="3663" builtinId="9" hidden="1"/>
    <cellStyle name="Followed Hyperlink" xfId="3665" builtinId="9" hidden="1"/>
    <cellStyle name="Followed Hyperlink" xfId="3667" builtinId="9" hidden="1"/>
    <cellStyle name="Followed Hyperlink" xfId="3669" builtinId="9" hidden="1"/>
    <cellStyle name="Followed Hyperlink" xfId="3671" builtinId="9" hidden="1"/>
    <cellStyle name="Followed Hyperlink" xfId="3673" builtinId="9" hidden="1"/>
    <cellStyle name="Followed Hyperlink" xfId="3675" builtinId="9" hidden="1"/>
    <cellStyle name="Followed Hyperlink" xfId="3677" builtinId="9" hidden="1"/>
    <cellStyle name="Followed Hyperlink" xfId="3679" builtinId="9" hidden="1"/>
    <cellStyle name="Followed Hyperlink" xfId="3681" builtinId="9" hidden="1"/>
    <cellStyle name="Followed Hyperlink" xfId="3683" builtinId="9" hidden="1"/>
    <cellStyle name="Followed Hyperlink" xfId="3685" builtinId="9" hidden="1"/>
    <cellStyle name="Followed Hyperlink" xfId="3687" builtinId="9" hidden="1"/>
    <cellStyle name="Followed Hyperlink" xfId="3689" builtinId="9" hidden="1"/>
    <cellStyle name="Followed Hyperlink" xfId="3691" builtinId="9" hidden="1"/>
    <cellStyle name="Followed Hyperlink" xfId="3693" builtinId="9" hidden="1"/>
    <cellStyle name="Followed Hyperlink" xfId="3695" builtinId="9" hidden="1"/>
    <cellStyle name="Followed Hyperlink" xfId="3697" builtinId="9" hidden="1"/>
    <cellStyle name="Followed Hyperlink" xfId="3699" builtinId="9" hidden="1"/>
    <cellStyle name="Followed Hyperlink" xfId="3701" builtinId="9" hidden="1"/>
    <cellStyle name="Followed Hyperlink" xfId="3703" builtinId="9" hidden="1"/>
    <cellStyle name="Followed Hyperlink" xfId="3705" builtinId="9" hidden="1"/>
    <cellStyle name="Followed Hyperlink" xfId="3707" builtinId="9" hidden="1"/>
    <cellStyle name="Followed Hyperlink" xfId="3709" builtinId="9" hidden="1"/>
    <cellStyle name="Followed Hyperlink" xfId="3711" builtinId="9" hidden="1"/>
    <cellStyle name="Followed Hyperlink" xfId="3713" builtinId="9" hidden="1"/>
    <cellStyle name="Followed Hyperlink" xfId="3715" builtinId="9" hidden="1"/>
    <cellStyle name="Followed Hyperlink" xfId="3717" builtinId="9" hidden="1"/>
    <cellStyle name="Followed Hyperlink" xfId="3719" builtinId="9" hidden="1"/>
    <cellStyle name="Followed Hyperlink" xfId="3721" builtinId="9" hidden="1"/>
    <cellStyle name="Followed Hyperlink" xfId="3723" builtinId="9" hidden="1"/>
    <cellStyle name="Followed Hyperlink" xfId="3725" builtinId="9" hidden="1"/>
    <cellStyle name="Followed Hyperlink" xfId="3727" builtinId="9" hidden="1"/>
    <cellStyle name="Followed Hyperlink" xfId="3729" builtinId="9" hidden="1"/>
    <cellStyle name="Followed Hyperlink" xfId="3731" builtinId="9" hidden="1"/>
    <cellStyle name="Followed Hyperlink" xfId="3733" builtinId="9" hidden="1"/>
    <cellStyle name="Followed Hyperlink" xfId="3735" builtinId="9" hidden="1"/>
    <cellStyle name="Followed Hyperlink" xfId="3737" builtinId="9" hidden="1"/>
    <cellStyle name="Followed Hyperlink" xfId="3739" builtinId="9" hidden="1"/>
    <cellStyle name="Followed Hyperlink" xfId="3741" builtinId="9" hidden="1"/>
    <cellStyle name="Followed Hyperlink" xfId="3743" builtinId="9" hidden="1"/>
    <cellStyle name="Followed Hyperlink" xfId="3745" builtinId="9" hidden="1"/>
    <cellStyle name="Followed Hyperlink" xfId="3747" builtinId="9" hidden="1"/>
    <cellStyle name="Followed Hyperlink" xfId="3749" builtinId="9" hidden="1"/>
    <cellStyle name="Followed Hyperlink" xfId="3751" builtinId="9" hidden="1"/>
    <cellStyle name="Followed Hyperlink" xfId="3753" builtinId="9" hidden="1"/>
    <cellStyle name="Followed Hyperlink" xfId="3755" builtinId="9" hidden="1"/>
    <cellStyle name="Followed Hyperlink" xfId="3757" builtinId="9" hidden="1"/>
    <cellStyle name="Followed Hyperlink" xfId="3759" builtinId="9" hidden="1"/>
    <cellStyle name="Followed Hyperlink" xfId="3761" builtinId="9" hidden="1"/>
    <cellStyle name="Followed Hyperlink" xfId="3763" builtinId="9" hidden="1"/>
    <cellStyle name="Followed Hyperlink" xfId="3765" builtinId="9" hidden="1"/>
    <cellStyle name="Followed Hyperlink" xfId="3767" builtinId="9" hidden="1"/>
    <cellStyle name="Followed Hyperlink" xfId="3769" builtinId="9" hidden="1"/>
    <cellStyle name="Followed Hyperlink" xfId="3771" builtinId="9" hidden="1"/>
    <cellStyle name="Followed Hyperlink" xfId="3773" builtinId="9" hidden="1"/>
    <cellStyle name="Followed Hyperlink" xfId="3775" builtinId="9" hidden="1"/>
    <cellStyle name="Followed Hyperlink" xfId="3777" builtinId="9" hidden="1"/>
    <cellStyle name="Followed Hyperlink" xfId="3779" builtinId="9" hidden="1"/>
    <cellStyle name="Followed Hyperlink" xfId="3781" builtinId="9" hidden="1"/>
    <cellStyle name="Followed Hyperlink" xfId="3783" builtinId="9" hidden="1"/>
    <cellStyle name="Followed Hyperlink" xfId="3785" builtinId="9" hidden="1"/>
    <cellStyle name="Followed Hyperlink" xfId="3787" builtinId="9" hidden="1"/>
    <cellStyle name="Followed Hyperlink" xfId="3789" builtinId="9" hidden="1"/>
    <cellStyle name="Followed Hyperlink" xfId="3791" builtinId="9" hidden="1"/>
    <cellStyle name="Followed Hyperlink" xfId="3793" builtinId="9" hidden="1"/>
    <cellStyle name="Followed Hyperlink" xfId="3795" builtinId="9" hidden="1"/>
    <cellStyle name="Followed Hyperlink" xfId="3797" builtinId="9" hidden="1"/>
    <cellStyle name="Followed Hyperlink" xfId="3799" builtinId="9" hidden="1"/>
    <cellStyle name="Followed Hyperlink" xfId="3801" builtinId="9" hidden="1"/>
    <cellStyle name="Followed Hyperlink" xfId="3803" builtinId="9" hidden="1"/>
    <cellStyle name="Followed Hyperlink" xfId="3805" builtinId="9" hidden="1"/>
    <cellStyle name="Followed Hyperlink" xfId="3807" builtinId="9" hidden="1"/>
    <cellStyle name="Followed Hyperlink" xfId="3809" builtinId="9" hidden="1"/>
    <cellStyle name="Followed Hyperlink" xfId="3811" builtinId="9" hidden="1"/>
    <cellStyle name="Followed Hyperlink" xfId="3813" builtinId="9" hidden="1"/>
    <cellStyle name="Followed Hyperlink" xfId="3815" builtinId="9" hidden="1"/>
    <cellStyle name="Followed Hyperlink" xfId="3817" builtinId="9" hidden="1"/>
    <cellStyle name="Followed Hyperlink" xfId="3819" builtinId="9" hidden="1"/>
    <cellStyle name="Followed Hyperlink" xfId="3821" builtinId="9" hidden="1"/>
    <cellStyle name="Followed Hyperlink" xfId="3823" builtinId="9" hidden="1"/>
    <cellStyle name="Followed Hyperlink" xfId="3825" builtinId="9" hidden="1"/>
    <cellStyle name="Followed Hyperlink" xfId="3827" builtinId="9" hidden="1"/>
    <cellStyle name="Followed Hyperlink" xfId="3829" builtinId="9" hidden="1"/>
    <cellStyle name="Followed Hyperlink" xfId="3831" builtinId="9" hidden="1"/>
    <cellStyle name="Followed Hyperlink" xfId="3833" builtinId="9" hidden="1"/>
    <cellStyle name="Followed Hyperlink" xfId="3835" builtinId="9" hidden="1"/>
    <cellStyle name="Followed Hyperlink" xfId="3837" builtinId="9" hidden="1"/>
    <cellStyle name="Followed Hyperlink" xfId="3839" builtinId="9" hidden="1"/>
    <cellStyle name="Followed Hyperlink" xfId="3841" builtinId="9" hidden="1"/>
    <cellStyle name="Followed Hyperlink" xfId="3843" builtinId="9" hidden="1"/>
    <cellStyle name="Followed Hyperlink" xfId="3845" builtinId="9" hidden="1"/>
    <cellStyle name="Followed Hyperlink" xfId="3847" builtinId="9" hidden="1"/>
    <cellStyle name="Followed Hyperlink" xfId="3849" builtinId="9" hidden="1"/>
    <cellStyle name="Followed Hyperlink" xfId="3851" builtinId="9" hidden="1"/>
    <cellStyle name="Followed Hyperlink" xfId="3853" builtinId="9" hidden="1"/>
    <cellStyle name="Followed Hyperlink" xfId="3855" builtinId="9" hidden="1"/>
    <cellStyle name="Followed Hyperlink" xfId="3857" builtinId="9" hidden="1"/>
    <cellStyle name="Followed Hyperlink" xfId="3859" builtinId="9" hidden="1"/>
    <cellStyle name="Followed Hyperlink" xfId="3861" builtinId="9" hidden="1"/>
    <cellStyle name="Followed Hyperlink" xfId="3863" builtinId="9" hidden="1"/>
    <cellStyle name="Followed Hyperlink" xfId="3865" builtinId="9" hidden="1"/>
    <cellStyle name="Followed Hyperlink" xfId="3867" builtinId="9" hidden="1"/>
    <cellStyle name="Followed Hyperlink" xfId="3869" builtinId="9" hidden="1"/>
    <cellStyle name="Followed Hyperlink" xfId="3871" builtinId="9" hidden="1"/>
    <cellStyle name="Followed Hyperlink" xfId="3873" builtinId="9" hidden="1"/>
    <cellStyle name="Followed Hyperlink" xfId="3875" builtinId="9" hidden="1"/>
    <cellStyle name="Followed Hyperlink" xfId="3877" builtinId="9" hidden="1"/>
    <cellStyle name="Followed Hyperlink" xfId="3879" builtinId="9" hidden="1"/>
    <cellStyle name="Followed Hyperlink" xfId="3881" builtinId="9" hidden="1"/>
    <cellStyle name="Followed Hyperlink" xfId="3883" builtinId="9" hidden="1"/>
    <cellStyle name="Followed Hyperlink" xfId="3885" builtinId="9" hidden="1"/>
    <cellStyle name="Followed Hyperlink" xfId="3887" builtinId="9" hidden="1"/>
    <cellStyle name="Followed Hyperlink" xfId="3889" builtinId="9" hidden="1"/>
    <cellStyle name="Followed Hyperlink" xfId="3891" builtinId="9" hidden="1"/>
    <cellStyle name="Followed Hyperlink" xfId="3893" builtinId="9" hidden="1"/>
    <cellStyle name="Followed Hyperlink" xfId="3895" builtinId="9" hidden="1"/>
    <cellStyle name="Followed Hyperlink" xfId="3897" builtinId="9" hidden="1"/>
    <cellStyle name="Followed Hyperlink" xfId="3899" builtinId="9" hidden="1"/>
    <cellStyle name="Followed Hyperlink" xfId="3901" builtinId="9" hidden="1"/>
    <cellStyle name="Followed Hyperlink" xfId="3903" builtinId="9" hidden="1"/>
    <cellStyle name="Followed Hyperlink" xfId="3905" builtinId="9" hidden="1"/>
    <cellStyle name="Followed Hyperlink" xfId="3907" builtinId="9" hidden="1"/>
    <cellStyle name="Followed Hyperlink" xfId="3909" builtinId="9" hidden="1"/>
    <cellStyle name="Followed Hyperlink" xfId="3911" builtinId="9" hidden="1"/>
    <cellStyle name="Followed Hyperlink" xfId="3913" builtinId="9" hidden="1"/>
    <cellStyle name="Followed Hyperlink" xfId="3915" builtinId="9" hidden="1"/>
    <cellStyle name="Followed Hyperlink" xfId="3917" builtinId="9" hidden="1"/>
    <cellStyle name="Followed Hyperlink" xfId="3919" builtinId="9" hidden="1"/>
    <cellStyle name="Followed Hyperlink" xfId="3921" builtinId="9" hidden="1"/>
    <cellStyle name="Followed Hyperlink" xfId="3923" builtinId="9" hidden="1"/>
    <cellStyle name="Followed Hyperlink" xfId="3925" builtinId="9" hidden="1"/>
    <cellStyle name="Followed Hyperlink" xfId="3927" builtinId="9" hidden="1"/>
    <cellStyle name="Followed Hyperlink" xfId="3929" builtinId="9" hidden="1"/>
    <cellStyle name="Followed Hyperlink" xfId="3931" builtinId="9" hidden="1"/>
    <cellStyle name="Followed Hyperlink" xfId="3933" builtinId="9" hidden="1"/>
    <cellStyle name="Followed Hyperlink" xfId="3935" builtinId="9" hidden="1"/>
    <cellStyle name="Followed Hyperlink" xfId="3937" builtinId="9" hidden="1"/>
    <cellStyle name="Followed Hyperlink" xfId="3939" builtinId="9" hidden="1"/>
    <cellStyle name="Followed Hyperlink" xfId="3941" builtinId="9" hidden="1"/>
    <cellStyle name="Followed Hyperlink" xfId="3943" builtinId="9" hidden="1"/>
    <cellStyle name="Followed Hyperlink" xfId="3945" builtinId="9" hidden="1"/>
    <cellStyle name="Followed Hyperlink" xfId="3947" builtinId="9" hidden="1"/>
    <cellStyle name="Followed Hyperlink" xfId="3949" builtinId="9" hidden="1"/>
    <cellStyle name="Followed Hyperlink" xfId="3951" builtinId="9" hidden="1"/>
    <cellStyle name="Followed Hyperlink" xfId="3953" builtinId="9" hidden="1"/>
    <cellStyle name="Followed Hyperlink" xfId="3955" builtinId="9" hidden="1"/>
    <cellStyle name="Followed Hyperlink" xfId="3957" builtinId="9" hidden="1"/>
    <cellStyle name="Followed Hyperlink" xfId="3959" builtinId="9" hidden="1"/>
    <cellStyle name="Followed Hyperlink" xfId="3961" builtinId="9" hidden="1"/>
    <cellStyle name="Followed Hyperlink" xfId="3963" builtinId="9" hidden="1"/>
    <cellStyle name="Followed Hyperlink" xfId="3965" builtinId="9" hidden="1"/>
    <cellStyle name="Followed Hyperlink" xfId="3967" builtinId="9" hidden="1"/>
    <cellStyle name="Followed Hyperlink" xfId="3969" builtinId="9" hidden="1"/>
    <cellStyle name="Followed Hyperlink" xfId="3971" builtinId="9" hidden="1"/>
    <cellStyle name="Followed Hyperlink" xfId="3973" builtinId="9" hidden="1"/>
    <cellStyle name="Followed Hyperlink" xfId="3975" builtinId="9" hidden="1"/>
    <cellStyle name="Followed Hyperlink" xfId="3977" builtinId="9" hidden="1"/>
    <cellStyle name="Followed Hyperlink" xfId="3979" builtinId="9" hidden="1"/>
    <cellStyle name="Followed Hyperlink" xfId="3981" builtinId="9" hidden="1"/>
    <cellStyle name="Followed Hyperlink" xfId="3983" builtinId="9" hidden="1"/>
    <cellStyle name="Followed Hyperlink" xfId="3985" builtinId="9" hidden="1"/>
    <cellStyle name="Followed Hyperlink" xfId="3987" builtinId="9" hidden="1"/>
    <cellStyle name="Followed Hyperlink" xfId="3989" builtinId="9" hidden="1"/>
    <cellStyle name="Followed Hyperlink" xfId="3991" builtinId="9" hidden="1"/>
    <cellStyle name="Followed Hyperlink" xfId="3993" builtinId="9" hidden="1"/>
    <cellStyle name="Followed Hyperlink" xfId="3995" builtinId="9" hidden="1"/>
    <cellStyle name="Followed Hyperlink" xfId="3997" builtinId="9" hidden="1"/>
    <cellStyle name="Followed Hyperlink" xfId="3999" builtinId="9" hidden="1"/>
    <cellStyle name="Followed Hyperlink" xfId="4001" builtinId="9" hidden="1"/>
    <cellStyle name="Followed Hyperlink" xfId="4003" builtinId="9" hidden="1"/>
    <cellStyle name="Followed Hyperlink" xfId="4005" builtinId="9" hidden="1"/>
    <cellStyle name="Followed Hyperlink" xfId="4007" builtinId="9" hidden="1"/>
    <cellStyle name="Followed Hyperlink" xfId="4009" builtinId="9" hidden="1"/>
    <cellStyle name="Followed Hyperlink" xfId="4011" builtinId="9" hidden="1"/>
    <cellStyle name="Followed Hyperlink" xfId="4013" builtinId="9" hidden="1"/>
    <cellStyle name="Followed Hyperlink" xfId="4015" builtinId="9" hidden="1"/>
    <cellStyle name="Followed Hyperlink" xfId="4017" builtinId="9" hidden="1"/>
    <cellStyle name="Followed Hyperlink" xfId="4019" builtinId="9" hidden="1"/>
    <cellStyle name="Followed Hyperlink" xfId="4021" builtinId="9" hidden="1"/>
    <cellStyle name="Followed Hyperlink" xfId="4023" builtinId="9" hidden="1"/>
    <cellStyle name="Followed Hyperlink" xfId="4025" builtinId="9" hidden="1"/>
    <cellStyle name="Followed Hyperlink" xfId="4027" builtinId="9" hidden="1"/>
    <cellStyle name="Followed Hyperlink" xfId="4029" builtinId="9" hidden="1"/>
    <cellStyle name="Followed Hyperlink" xfId="4031" builtinId="9" hidden="1"/>
    <cellStyle name="Followed Hyperlink" xfId="4033" builtinId="9" hidden="1"/>
    <cellStyle name="Followed Hyperlink" xfId="4035" builtinId="9" hidden="1"/>
    <cellStyle name="Followed Hyperlink" xfId="4037" builtinId="9" hidden="1"/>
    <cellStyle name="Followed Hyperlink" xfId="4039" builtinId="9" hidden="1"/>
    <cellStyle name="Followed Hyperlink" xfId="4041" builtinId="9" hidden="1"/>
    <cellStyle name="Followed Hyperlink" xfId="4043" builtinId="9" hidden="1"/>
    <cellStyle name="Followed Hyperlink" xfId="4045" builtinId="9" hidden="1"/>
    <cellStyle name="Followed Hyperlink" xfId="4047" builtinId="9" hidden="1"/>
    <cellStyle name="Followed Hyperlink" xfId="4049" builtinId="9" hidden="1"/>
    <cellStyle name="Followed Hyperlink" xfId="4051" builtinId="9" hidden="1"/>
    <cellStyle name="Followed Hyperlink" xfId="4053" builtinId="9" hidden="1"/>
    <cellStyle name="Followed Hyperlink" xfId="4055" builtinId="9" hidden="1"/>
    <cellStyle name="Followed Hyperlink" xfId="4057" builtinId="9" hidden="1"/>
    <cellStyle name="Followed Hyperlink" xfId="4059" builtinId="9" hidden="1"/>
    <cellStyle name="Followed Hyperlink" xfId="4061" builtinId="9" hidden="1"/>
    <cellStyle name="Followed Hyperlink" xfId="4063" builtinId="9" hidden="1"/>
    <cellStyle name="Followed Hyperlink" xfId="4065" builtinId="9" hidden="1"/>
    <cellStyle name="Followed Hyperlink" xfId="4067" builtinId="9" hidden="1"/>
    <cellStyle name="Followed Hyperlink" xfId="4069" builtinId="9" hidden="1"/>
    <cellStyle name="Followed Hyperlink" xfId="4071" builtinId="9" hidden="1"/>
    <cellStyle name="Followed Hyperlink" xfId="4073" builtinId="9" hidden="1"/>
    <cellStyle name="Followed Hyperlink" xfId="4075" builtinId="9" hidden="1"/>
    <cellStyle name="Followed Hyperlink" xfId="4077" builtinId="9" hidden="1"/>
    <cellStyle name="Followed Hyperlink" xfId="4079" builtinId="9" hidden="1"/>
    <cellStyle name="Followed Hyperlink" xfId="4081" builtinId="9" hidden="1"/>
    <cellStyle name="Followed Hyperlink" xfId="4083" builtinId="9" hidden="1"/>
    <cellStyle name="Followed Hyperlink" xfId="4085" builtinId="9" hidden="1"/>
    <cellStyle name="Followed Hyperlink" xfId="4087" builtinId="9" hidden="1"/>
    <cellStyle name="Followed Hyperlink" xfId="4089" builtinId="9" hidden="1"/>
    <cellStyle name="Followed Hyperlink" xfId="4091" builtinId="9" hidden="1"/>
    <cellStyle name="Followed Hyperlink" xfId="4093" builtinId="9" hidden="1"/>
    <cellStyle name="Followed Hyperlink" xfId="4095" builtinId="9" hidden="1"/>
    <cellStyle name="Followed Hyperlink" xfId="4097" builtinId="9" hidden="1"/>
    <cellStyle name="Followed Hyperlink" xfId="4099" builtinId="9" hidden="1"/>
    <cellStyle name="Followed Hyperlink" xfId="4101" builtinId="9" hidden="1"/>
    <cellStyle name="Followed Hyperlink" xfId="4103" builtinId="9" hidden="1"/>
    <cellStyle name="Followed Hyperlink" xfId="4105" builtinId="9" hidden="1"/>
    <cellStyle name="Followed Hyperlink" xfId="4107" builtinId="9" hidden="1"/>
    <cellStyle name="Followed Hyperlink" xfId="4109" builtinId="9" hidden="1"/>
    <cellStyle name="Followed Hyperlink" xfId="4111" builtinId="9" hidden="1"/>
    <cellStyle name="Followed Hyperlink" xfId="4113" builtinId="9" hidden="1"/>
    <cellStyle name="Followed Hyperlink" xfId="4115" builtinId="9" hidden="1"/>
    <cellStyle name="Followed Hyperlink" xfId="4117" builtinId="9" hidden="1"/>
    <cellStyle name="Followed Hyperlink" xfId="4119" builtinId="9" hidden="1"/>
    <cellStyle name="Followed Hyperlink" xfId="4121" builtinId="9" hidden="1"/>
    <cellStyle name="Followed Hyperlink" xfId="4123" builtinId="9" hidden="1"/>
    <cellStyle name="Followed Hyperlink" xfId="4125" builtinId="9" hidden="1"/>
    <cellStyle name="Followed Hyperlink" xfId="4127" builtinId="9" hidden="1"/>
    <cellStyle name="Followed Hyperlink" xfId="4129" builtinId="9" hidden="1"/>
    <cellStyle name="Followed Hyperlink" xfId="4131" builtinId="9" hidden="1"/>
    <cellStyle name="Followed Hyperlink" xfId="4133" builtinId="9" hidden="1"/>
    <cellStyle name="Followed Hyperlink" xfId="4135" builtinId="9" hidden="1"/>
    <cellStyle name="Followed Hyperlink" xfId="4137" builtinId="9" hidden="1"/>
    <cellStyle name="Followed Hyperlink" xfId="4139" builtinId="9" hidden="1"/>
    <cellStyle name="Followed Hyperlink" xfId="4141" builtinId="9" hidden="1"/>
    <cellStyle name="Followed Hyperlink" xfId="4143" builtinId="9" hidden="1"/>
    <cellStyle name="Followed Hyperlink" xfId="4145" builtinId="9" hidden="1"/>
    <cellStyle name="Followed Hyperlink" xfId="4147" builtinId="9" hidden="1"/>
    <cellStyle name="Followed Hyperlink" xfId="4149" builtinId="9" hidden="1"/>
    <cellStyle name="Followed Hyperlink" xfId="4151" builtinId="9" hidden="1"/>
    <cellStyle name="Followed Hyperlink" xfId="4153" builtinId="9" hidden="1"/>
    <cellStyle name="Followed Hyperlink" xfId="4155" builtinId="9" hidden="1"/>
    <cellStyle name="Followed Hyperlink" xfId="4157" builtinId="9" hidden="1"/>
    <cellStyle name="Followed Hyperlink" xfId="4159" builtinId="9" hidden="1"/>
    <cellStyle name="Followed Hyperlink" xfId="4161" builtinId="9" hidden="1"/>
    <cellStyle name="Followed Hyperlink" xfId="4163" builtinId="9" hidden="1"/>
    <cellStyle name="Followed Hyperlink" xfId="4165" builtinId="9" hidden="1"/>
    <cellStyle name="Followed Hyperlink" xfId="4167" builtinId="9" hidden="1"/>
    <cellStyle name="Followed Hyperlink" xfId="4169" builtinId="9" hidden="1"/>
    <cellStyle name="Followed Hyperlink" xfId="4171" builtinId="9" hidden="1"/>
    <cellStyle name="Followed Hyperlink" xfId="4173" builtinId="9" hidden="1"/>
    <cellStyle name="Followed Hyperlink" xfId="4175" builtinId="9" hidden="1"/>
    <cellStyle name="Followed Hyperlink" xfId="4177" builtinId="9" hidden="1"/>
    <cellStyle name="Followed Hyperlink" xfId="4179" builtinId="9" hidden="1"/>
    <cellStyle name="Followed Hyperlink" xfId="4181" builtinId="9" hidden="1"/>
    <cellStyle name="Followed Hyperlink" xfId="4183" builtinId="9" hidden="1"/>
    <cellStyle name="Followed Hyperlink" xfId="4185" builtinId="9" hidden="1"/>
    <cellStyle name="Followed Hyperlink" xfId="4187" builtinId="9" hidden="1"/>
    <cellStyle name="Followed Hyperlink" xfId="4189" builtinId="9" hidden="1"/>
    <cellStyle name="Followed Hyperlink" xfId="4191" builtinId="9" hidden="1"/>
    <cellStyle name="Followed Hyperlink" xfId="4193" builtinId="9" hidden="1"/>
    <cellStyle name="Followed Hyperlink" xfId="4195" builtinId="9" hidden="1"/>
    <cellStyle name="Followed Hyperlink" xfId="4197" builtinId="9" hidden="1"/>
    <cellStyle name="Followed Hyperlink" xfId="4199" builtinId="9" hidden="1"/>
    <cellStyle name="Followed Hyperlink" xfId="4201" builtinId="9" hidden="1"/>
    <cellStyle name="Followed Hyperlink" xfId="4203" builtinId="9" hidden="1"/>
    <cellStyle name="Followed Hyperlink" xfId="4205" builtinId="9" hidden="1"/>
    <cellStyle name="Followed Hyperlink" xfId="4207" builtinId="9" hidden="1"/>
    <cellStyle name="Followed Hyperlink" xfId="4209" builtinId="9" hidden="1"/>
    <cellStyle name="Followed Hyperlink" xfId="4211" builtinId="9" hidden="1"/>
    <cellStyle name="Followed Hyperlink" xfId="4213" builtinId="9" hidden="1"/>
    <cellStyle name="Followed Hyperlink" xfId="4215" builtinId="9" hidden="1"/>
    <cellStyle name="Followed Hyperlink" xfId="4217" builtinId="9" hidden="1"/>
    <cellStyle name="Followed Hyperlink" xfId="4219" builtinId="9" hidden="1"/>
    <cellStyle name="Followed Hyperlink" xfId="4221" builtinId="9" hidden="1"/>
    <cellStyle name="Followed Hyperlink" xfId="4223" builtinId="9" hidden="1"/>
    <cellStyle name="Followed Hyperlink" xfId="4225" builtinId="9" hidden="1"/>
    <cellStyle name="Followed Hyperlink" xfId="4227" builtinId="9" hidden="1"/>
    <cellStyle name="Followed Hyperlink" xfId="4229" builtinId="9" hidden="1"/>
    <cellStyle name="Followed Hyperlink" xfId="4231" builtinId="9" hidden="1"/>
    <cellStyle name="Followed Hyperlink" xfId="4233" builtinId="9" hidden="1"/>
    <cellStyle name="Followed Hyperlink" xfId="4235" builtinId="9" hidden="1"/>
    <cellStyle name="Followed Hyperlink" xfId="4237" builtinId="9" hidden="1"/>
    <cellStyle name="Followed Hyperlink" xfId="4239" builtinId="9" hidden="1"/>
    <cellStyle name="Followed Hyperlink" xfId="4241" builtinId="9" hidden="1"/>
    <cellStyle name="Followed Hyperlink" xfId="4243" builtinId="9" hidden="1"/>
    <cellStyle name="Followed Hyperlink" xfId="4245" builtinId="9" hidden="1"/>
    <cellStyle name="Followed Hyperlink" xfId="4247" builtinId="9" hidden="1"/>
    <cellStyle name="Followed Hyperlink" xfId="4249" builtinId="9" hidden="1"/>
    <cellStyle name="Followed Hyperlink" xfId="4251" builtinId="9" hidden="1"/>
    <cellStyle name="Followed Hyperlink" xfId="4253" builtinId="9" hidden="1"/>
    <cellStyle name="Followed Hyperlink" xfId="4255" builtinId="9" hidden="1"/>
    <cellStyle name="Followed Hyperlink" xfId="4257" builtinId="9" hidden="1"/>
    <cellStyle name="Followed Hyperlink" xfId="4259" builtinId="9" hidden="1"/>
    <cellStyle name="Followed Hyperlink" xfId="4261" builtinId="9" hidden="1"/>
    <cellStyle name="Followed Hyperlink" xfId="4263" builtinId="9" hidden="1"/>
    <cellStyle name="Followed Hyperlink" xfId="4265" builtinId="9" hidden="1"/>
    <cellStyle name="Followed Hyperlink" xfId="4267" builtinId="9" hidden="1"/>
    <cellStyle name="Followed Hyperlink" xfId="4269" builtinId="9" hidden="1"/>
    <cellStyle name="Followed Hyperlink" xfId="4271" builtinId="9" hidden="1"/>
    <cellStyle name="Followed Hyperlink" xfId="4273" builtinId="9" hidden="1"/>
    <cellStyle name="Followed Hyperlink" xfId="4275" builtinId="9" hidden="1"/>
    <cellStyle name="Followed Hyperlink" xfId="4277" builtinId="9" hidden="1"/>
    <cellStyle name="Followed Hyperlink" xfId="4279" builtinId="9" hidden="1"/>
    <cellStyle name="Followed Hyperlink" xfId="4281" builtinId="9" hidden="1"/>
    <cellStyle name="Followed Hyperlink" xfId="4283" builtinId="9" hidden="1"/>
    <cellStyle name="Followed Hyperlink" xfId="4285" builtinId="9" hidden="1"/>
    <cellStyle name="Followed Hyperlink" xfId="4287" builtinId="9" hidden="1"/>
    <cellStyle name="Followed Hyperlink" xfId="4289" builtinId="9" hidden="1"/>
    <cellStyle name="Followed Hyperlink" xfId="4291" builtinId="9" hidden="1"/>
    <cellStyle name="Followed Hyperlink" xfId="4293" builtinId="9" hidden="1"/>
    <cellStyle name="Followed Hyperlink" xfId="4295" builtinId="9" hidden="1"/>
    <cellStyle name="Followed Hyperlink" xfId="4297" builtinId="9" hidden="1"/>
    <cellStyle name="Followed Hyperlink" xfId="4299" builtinId="9" hidden="1"/>
    <cellStyle name="Followed Hyperlink" xfId="4301" builtinId="9" hidden="1"/>
    <cellStyle name="Followed Hyperlink" xfId="4303" builtinId="9" hidden="1"/>
    <cellStyle name="Followed Hyperlink" xfId="4305" builtinId="9" hidden="1"/>
    <cellStyle name="Followed Hyperlink" xfId="4307" builtinId="9" hidden="1"/>
    <cellStyle name="Followed Hyperlink" xfId="4309" builtinId="9" hidden="1"/>
    <cellStyle name="Followed Hyperlink" xfId="4311" builtinId="9" hidden="1"/>
    <cellStyle name="Followed Hyperlink" xfId="4313" builtinId="9" hidden="1"/>
    <cellStyle name="Followed Hyperlink" xfId="4315" builtinId="9" hidden="1"/>
    <cellStyle name="Followed Hyperlink" xfId="4317" builtinId="9" hidden="1"/>
    <cellStyle name="Followed Hyperlink" xfId="4319" builtinId="9" hidden="1"/>
    <cellStyle name="Followed Hyperlink" xfId="4321" builtinId="9" hidden="1"/>
    <cellStyle name="Followed Hyperlink" xfId="4323" builtinId="9" hidden="1"/>
    <cellStyle name="Followed Hyperlink" xfId="4325" builtinId="9" hidden="1"/>
    <cellStyle name="Followed Hyperlink" xfId="4327" builtinId="9" hidden="1"/>
    <cellStyle name="Followed Hyperlink" xfId="4329" builtinId="9" hidden="1"/>
    <cellStyle name="Followed Hyperlink" xfId="4331" builtinId="9" hidden="1"/>
    <cellStyle name="Followed Hyperlink" xfId="4333" builtinId="9" hidden="1"/>
    <cellStyle name="Followed Hyperlink" xfId="4335" builtinId="9" hidden="1"/>
    <cellStyle name="Followed Hyperlink" xfId="4337" builtinId="9" hidden="1"/>
    <cellStyle name="Followed Hyperlink" xfId="4339" builtinId="9" hidden="1"/>
    <cellStyle name="Followed Hyperlink" xfId="4341" builtinId="9" hidden="1"/>
    <cellStyle name="Followed Hyperlink" xfId="4343" builtinId="9" hidden="1"/>
    <cellStyle name="Followed Hyperlink" xfId="4345" builtinId="9" hidden="1"/>
    <cellStyle name="Followed Hyperlink" xfId="4347" builtinId="9" hidden="1"/>
    <cellStyle name="Followed Hyperlink" xfId="4349" builtinId="9" hidden="1"/>
    <cellStyle name="Followed Hyperlink" xfId="4351" builtinId="9" hidden="1"/>
    <cellStyle name="Followed Hyperlink" xfId="4353" builtinId="9" hidden="1"/>
    <cellStyle name="Followed Hyperlink" xfId="4355" builtinId="9" hidden="1"/>
    <cellStyle name="Followed Hyperlink" xfId="4357" builtinId="9" hidden="1"/>
    <cellStyle name="Followed Hyperlink" xfId="4359" builtinId="9" hidden="1"/>
    <cellStyle name="Followed Hyperlink" xfId="4361" builtinId="9" hidden="1"/>
    <cellStyle name="Followed Hyperlink" xfId="4363" builtinId="9" hidden="1"/>
    <cellStyle name="Followed Hyperlink" xfId="4365" builtinId="9" hidden="1"/>
    <cellStyle name="Followed Hyperlink" xfId="4367" builtinId="9" hidden="1"/>
    <cellStyle name="Followed Hyperlink" xfId="4369" builtinId="9" hidden="1"/>
    <cellStyle name="Followed Hyperlink" xfId="4371" builtinId="9" hidden="1"/>
    <cellStyle name="Followed Hyperlink" xfId="4373" builtinId="9" hidden="1"/>
    <cellStyle name="Followed Hyperlink" xfId="4375" builtinId="9" hidden="1"/>
    <cellStyle name="Followed Hyperlink" xfId="4377" builtinId="9" hidden="1"/>
    <cellStyle name="Followed Hyperlink" xfId="4379" builtinId="9" hidden="1"/>
    <cellStyle name="Followed Hyperlink" xfId="4381" builtinId="9" hidden="1"/>
    <cellStyle name="Followed Hyperlink" xfId="4383" builtinId="9" hidden="1"/>
    <cellStyle name="Followed Hyperlink" xfId="4385" builtinId="9" hidden="1"/>
    <cellStyle name="Followed Hyperlink" xfId="4387" builtinId="9" hidden="1"/>
    <cellStyle name="Followed Hyperlink" xfId="4389" builtinId="9" hidden="1"/>
    <cellStyle name="Followed Hyperlink" xfId="4391" builtinId="9" hidden="1"/>
    <cellStyle name="Followed Hyperlink" xfId="4393" builtinId="9" hidden="1"/>
    <cellStyle name="Followed Hyperlink" xfId="4395" builtinId="9" hidden="1"/>
    <cellStyle name="Followed Hyperlink" xfId="4397" builtinId="9" hidden="1"/>
    <cellStyle name="Followed Hyperlink" xfId="4399" builtinId="9" hidden="1"/>
    <cellStyle name="Followed Hyperlink" xfId="4401" builtinId="9" hidden="1"/>
    <cellStyle name="Followed Hyperlink" xfId="4403" builtinId="9" hidden="1"/>
    <cellStyle name="Followed Hyperlink" xfId="4405" builtinId="9" hidden="1"/>
    <cellStyle name="Followed Hyperlink" xfId="4407" builtinId="9" hidden="1"/>
    <cellStyle name="Followed Hyperlink" xfId="4409" builtinId="9" hidden="1"/>
    <cellStyle name="Followed Hyperlink" xfId="4411" builtinId="9" hidden="1"/>
    <cellStyle name="Followed Hyperlink" xfId="4413" builtinId="9" hidden="1"/>
    <cellStyle name="Followed Hyperlink" xfId="4415" builtinId="9" hidden="1"/>
    <cellStyle name="Followed Hyperlink" xfId="4417" builtinId="9" hidden="1"/>
    <cellStyle name="Followed Hyperlink" xfId="4419" builtinId="9" hidden="1"/>
    <cellStyle name="Followed Hyperlink" xfId="4421" builtinId="9" hidden="1"/>
    <cellStyle name="Followed Hyperlink" xfId="4423" builtinId="9" hidden="1"/>
    <cellStyle name="Followed Hyperlink" xfId="4425" builtinId="9" hidden="1"/>
    <cellStyle name="Followed Hyperlink" xfId="4427" builtinId="9" hidden="1"/>
    <cellStyle name="Followed Hyperlink" xfId="4429" builtinId="9" hidden="1"/>
    <cellStyle name="Followed Hyperlink" xfId="4431" builtinId="9" hidden="1"/>
    <cellStyle name="Followed Hyperlink" xfId="4433" builtinId="9" hidden="1"/>
    <cellStyle name="Followed Hyperlink" xfId="4435" builtinId="9" hidden="1"/>
    <cellStyle name="Followed Hyperlink" xfId="4437" builtinId="9" hidden="1"/>
    <cellStyle name="Followed Hyperlink" xfId="4439" builtinId="9" hidden="1"/>
    <cellStyle name="Followed Hyperlink" xfId="4441" builtinId="9" hidden="1"/>
    <cellStyle name="Followed Hyperlink" xfId="4443" builtinId="9" hidden="1"/>
    <cellStyle name="Followed Hyperlink" xfId="4445" builtinId="9" hidden="1"/>
    <cellStyle name="Followed Hyperlink" xfId="4447" builtinId="9" hidden="1"/>
    <cellStyle name="Followed Hyperlink" xfId="4449" builtinId="9" hidden="1"/>
    <cellStyle name="Followed Hyperlink" xfId="4451" builtinId="9" hidden="1"/>
    <cellStyle name="Followed Hyperlink" xfId="4453" builtinId="9" hidden="1"/>
    <cellStyle name="Followed Hyperlink" xfId="4455" builtinId="9" hidden="1"/>
    <cellStyle name="Followed Hyperlink" xfId="4457" builtinId="9" hidden="1"/>
    <cellStyle name="Followed Hyperlink" xfId="4459" builtinId="9" hidden="1"/>
    <cellStyle name="Followed Hyperlink" xfId="4461" builtinId="9" hidden="1"/>
    <cellStyle name="Followed Hyperlink" xfId="4463" builtinId="9" hidden="1"/>
    <cellStyle name="Followed Hyperlink" xfId="4465" builtinId="9" hidden="1"/>
    <cellStyle name="Followed Hyperlink" xfId="4467" builtinId="9" hidden="1"/>
    <cellStyle name="Followed Hyperlink" xfId="4469" builtinId="9" hidden="1"/>
    <cellStyle name="Followed Hyperlink" xfId="4471" builtinId="9" hidden="1"/>
    <cellStyle name="Followed Hyperlink" xfId="4473" builtinId="9" hidden="1"/>
    <cellStyle name="Followed Hyperlink" xfId="4475" builtinId="9" hidden="1"/>
    <cellStyle name="Followed Hyperlink" xfId="4477" builtinId="9" hidden="1"/>
    <cellStyle name="Followed Hyperlink" xfId="4479" builtinId="9" hidden="1"/>
    <cellStyle name="Followed Hyperlink" xfId="4481" builtinId="9" hidden="1"/>
    <cellStyle name="Followed Hyperlink" xfId="4483" builtinId="9" hidden="1"/>
    <cellStyle name="Followed Hyperlink" xfId="4485" builtinId="9" hidden="1"/>
    <cellStyle name="Followed Hyperlink" xfId="4487" builtinId="9" hidden="1"/>
    <cellStyle name="Followed Hyperlink" xfId="4489" builtinId="9" hidden="1"/>
    <cellStyle name="Followed Hyperlink" xfId="4491" builtinId="9" hidden="1"/>
    <cellStyle name="Followed Hyperlink" xfId="4493" builtinId="9" hidden="1"/>
    <cellStyle name="Followed Hyperlink" xfId="4495" builtinId="9" hidden="1"/>
    <cellStyle name="Followed Hyperlink" xfId="4497" builtinId="9" hidden="1"/>
    <cellStyle name="Followed Hyperlink" xfId="4499" builtinId="9" hidden="1"/>
    <cellStyle name="Followed Hyperlink" xfId="4501" builtinId="9" hidden="1"/>
    <cellStyle name="Followed Hyperlink" xfId="4503" builtinId="9" hidden="1"/>
    <cellStyle name="Followed Hyperlink" xfId="4505" builtinId="9" hidden="1"/>
    <cellStyle name="Followed Hyperlink" xfId="4507" builtinId="9" hidden="1"/>
    <cellStyle name="Followed Hyperlink" xfId="4509" builtinId="9" hidden="1"/>
    <cellStyle name="Followed Hyperlink" xfId="4511" builtinId="9" hidden="1"/>
    <cellStyle name="Followed Hyperlink" xfId="4513" builtinId="9" hidden="1"/>
    <cellStyle name="Followed Hyperlink" xfId="4515" builtinId="9" hidden="1"/>
    <cellStyle name="Followed Hyperlink" xfId="4517" builtinId="9" hidden="1"/>
    <cellStyle name="Followed Hyperlink" xfId="4519" builtinId="9" hidden="1"/>
    <cellStyle name="Followed Hyperlink" xfId="4521" builtinId="9" hidden="1"/>
    <cellStyle name="Followed Hyperlink" xfId="4523" builtinId="9" hidden="1"/>
    <cellStyle name="Followed Hyperlink" xfId="4525" builtinId="9" hidden="1"/>
    <cellStyle name="Followed Hyperlink" xfId="4527" builtinId="9" hidden="1"/>
    <cellStyle name="Followed Hyperlink" xfId="4529" builtinId="9" hidden="1"/>
    <cellStyle name="Followed Hyperlink" xfId="4531" builtinId="9" hidden="1"/>
    <cellStyle name="Followed Hyperlink" xfId="4533" builtinId="9" hidden="1"/>
    <cellStyle name="Followed Hyperlink" xfId="4535" builtinId="9" hidden="1"/>
    <cellStyle name="Followed Hyperlink" xfId="4537" builtinId="9" hidden="1"/>
    <cellStyle name="Followed Hyperlink" xfId="4539" builtinId="9" hidden="1"/>
    <cellStyle name="Followed Hyperlink" xfId="4541" builtinId="9" hidden="1"/>
    <cellStyle name="Followed Hyperlink" xfId="4543" builtinId="9" hidden="1"/>
    <cellStyle name="Followed Hyperlink" xfId="4545" builtinId="9" hidden="1"/>
    <cellStyle name="Followed Hyperlink" xfId="4547" builtinId="9" hidden="1"/>
    <cellStyle name="Followed Hyperlink" xfId="4549" builtinId="9" hidden="1"/>
    <cellStyle name="Followed Hyperlink" xfId="4551" builtinId="9" hidden="1"/>
    <cellStyle name="Followed Hyperlink" xfId="4553" builtinId="9" hidden="1"/>
    <cellStyle name="Followed Hyperlink" xfId="4555" builtinId="9" hidden="1"/>
    <cellStyle name="Followed Hyperlink" xfId="4557" builtinId="9" hidden="1"/>
    <cellStyle name="Followed Hyperlink" xfId="4559" builtinId="9" hidden="1"/>
    <cellStyle name="Followed Hyperlink" xfId="4561" builtinId="9" hidden="1"/>
    <cellStyle name="Followed Hyperlink" xfId="4563" builtinId="9" hidden="1"/>
    <cellStyle name="Followed Hyperlink" xfId="4565" builtinId="9" hidden="1"/>
    <cellStyle name="Followed Hyperlink" xfId="4567" builtinId="9" hidden="1"/>
    <cellStyle name="Followed Hyperlink" xfId="4569" builtinId="9" hidden="1"/>
    <cellStyle name="Followed Hyperlink" xfId="4571" builtinId="9" hidden="1"/>
    <cellStyle name="Followed Hyperlink" xfId="4573" builtinId="9" hidden="1"/>
    <cellStyle name="Followed Hyperlink" xfId="4575" builtinId="9" hidden="1"/>
    <cellStyle name="Followed Hyperlink" xfId="4577" builtinId="9" hidden="1"/>
    <cellStyle name="Followed Hyperlink" xfId="4579" builtinId="9" hidden="1"/>
    <cellStyle name="Followed Hyperlink" xfId="4581" builtinId="9" hidden="1"/>
    <cellStyle name="Followed Hyperlink" xfId="4583" builtinId="9" hidden="1"/>
    <cellStyle name="Followed Hyperlink" xfId="4585" builtinId="9" hidden="1"/>
    <cellStyle name="Followed Hyperlink" xfId="4587" builtinId="9" hidden="1"/>
    <cellStyle name="Followed Hyperlink" xfId="4589" builtinId="9" hidden="1"/>
    <cellStyle name="Followed Hyperlink" xfId="4591" builtinId="9" hidden="1"/>
    <cellStyle name="Followed Hyperlink" xfId="4593" builtinId="9" hidden="1"/>
    <cellStyle name="Followed Hyperlink" xfId="4595" builtinId="9" hidden="1"/>
    <cellStyle name="Followed Hyperlink" xfId="4597" builtinId="9" hidden="1"/>
    <cellStyle name="Followed Hyperlink" xfId="4599" builtinId="9" hidden="1"/>
    <cellStyle name="Followed Hyperlink" xfId="4601" builtinId="9" hidden="1"/>
    <cellStyle name="Followed Hyperlink" xfId="4603" builtinId="9" hidden="1"/>
    <cellStyle name="Followed Hyperlink" xfId="4605" builtinId="9" hidden="1"/>
    <cellStyle name="Followed Hyperlink" xfId="4607" builtinId="9" hidden="1"/>
    <cellStyle name="Followed Hyperlink" xfId="4609" builtinId="9" hidden="1"/>
    <cellStyle name="Followed Hyperlink" xfId="4611" builtinId="9" hidden="1"/>
    <cellStyle name="Followed Hyperlink" xfId="4613" builtinId="9" hidden="1"/>
    <cellStyle name="Followed Hyperlink" xfId="4615" builtinId="9" hidden="1"/>
    <cellStyle name="Followed Hyperlink" xfId="4617" builtinId="9" hidden="1"/>
    <cellStyle name="Followed Hyperlink" xfId="4619" builtinId="9" hidden="1"/>
    <cellStyle name="Followed Hyperlink" xfId="4621" builtinId="9" hidden="1"/>
    <cellStyle name="Followed Hyperlink" xfId="4623" builtinId="9" hidden="1"/>
    <cellStyle name="Followed Hyperlink" xfId="4625" builtinId="9" hidden="1"/>
    <cellStyle name="Followed Hyperlink" xfId="4627" builtinId="9" hidden="1"/>
    <cellStyle name="Followed Hyperlink" xfId="4629" builtinId="9" hidden="1"/>
    <cellStyle name="Followed Hyperlink" xfId="4631" builtinId="9" hidden="1"/>
    <cellStyle name="Followed Hyperlink" xfId="4633" builtinId="9" hidden="1"/>
    <cellStyle name="Followed Hyperlink" xfId="4635" builtinId="9" hidden="1"/>
    <cellStyle name="Followed Hyperlink" xfId="4637" builtinId="9" hidden="1"/>
    <cellStyle name="Followed Hyperlink" xfId="4639" builtinId="9" hidden="1"/>
    <cellStyle name="Followed Hyperlink" xfId="4641" builtinId="9" hidden="1"/>
    <cellStyle name="Followed Hyperlink" xfId="4643" builtinId="9" hidden="1"/>
    <cellStyle name="Followed Hyperlink" xfId="4645" builtinId="9" hidden="1"/>
    <cellStyle name="Followed Hyperlink" xfId="4647" builtinId="9" hidden="1"/>
    <cellStyle name="Followed Hyperlink" xfId="4649" builtinId="9" hidden="1"/>
    <cellStyle name="Followed Hyperlink" xfId="4651" builtinId="9" hidden="1"/>
    <cellStyle name="Followed Hyperlink" xfId="4653" builtinId="9" hidden="1"/>
    <cellStyle name="Followed Hyperlink" xfId="4655" builtinId="9" hidden="1"/>
    <cellStyle name="Followed Hyperlink" xfId="4657" builtinId="9" hidden="1"/>
    <cellStyle name="Followed Hyperlink" xfId="4659" builtinId="9" hidden="1"/>
    <cellStyle name="Followed Hyperlink" xfId="4661" builtinId="9" hidden="1"/>
    <cellStyle name="Followed Hyperlink" xfId="4663" builtinId="9" hidden="1"/>
    <cellStyle name="Followed Hyperlink" xfId="4665" builtinId="9" hidden="1"/>
    <cellStyle name="Followed Hyperlink" xfId="4667" builtinId="9" hidden="1"/>
    <cellStyle name="Followed Hyperlink" xfId="4669" builtinId="9" hidden="1"/>
    <cellStyle name="Followed Hyperlink" xfId="4671" builtinId="9" hidden="1"/>
    <cellStyle name="Followed Hyperlink" xfId="4673" builtinId="9" hidden="1"/>
    <cellStyle name="Followed Hyperlink" xfId="4675" builtinId="9" hidden="1"/>
    <cellStyle name="Followed Hyperlink" xfId="4677" builtinId="9" hidden="1"/>
    <cellStyle name="Followed Hyperlink" xfId="4679" builtinId="9" hidden="1"/>
    <cellStyle name="Followed Hyperlink" xfId="4681" builtinId="9" hidden="1"/>
    <cellStyle name="Followed Hyperlink" xfId="4683" builtinId="9" hidden="1"/>
    <cellStyle name="Followed Hyperlink" xfId="4685" builtinId="9" hidden="1"/>
    <cellStyle name="Followed Hyperlink" xfId="4687" builtinId="9" hidden="1"/>
    <cellStyle name="Followed Hyperlink" xfId="4689" builtinId="9" hidden="1"/>
    <cellStyle name="Followed Hyperlink" xfId="4691" builtinId="9" hidden="1"/>
    <cellStyle name="Followed Hyperlink" xfId="4693" builtinId="9" hidden="1"/>
    <cellStyle name="Followed Hyperlink" xfId="4695" builtinId="9" hidden="1"/>
    <cellStyle name="Followed Hyperlink" xfId="4697" builtinId="9" hidden="1"/>
    <cellStyle name="Followed Hyperlink" xfId="4699" builtinId="9" hidden="1"/>
    <cellStyle name="Followed Hyperlink" xfId="4701" builtinId="9" hidden="1"/>
    <cellStyle name="Followed Hyperlink" xfId="4703" builtinId="9" hidden="1"/>
    <cellStyle name="Followed Hyperlink" xfId="4705" builtinId="9" hidden="1"/>
    <cellStyle name="Followed Hyperlink" xfId="4707" builtinId="9" hidden="1"/>
    <cellStyle name="Followed Hyperlink" xfId="4709" builtinId="9" hidden="1"/>
    <cellStyle name="Followed Hyperlink" xfId="4711" builtinId="9" hidden="1"/>
    <cellStyle name="Followed Hyperlink" xfId="4713" builtinId="9" hidden="1"/>
    <cellStyle name="Followed Hyperlink" xfId="4715" builtinId="9" hidden="1"/>
    <cellStyle name="Followed Hyperlink" xfId="4717" builtinId="9" hidden="1"/>
    <cellStyle name="Followed Hyperlink" xfId="4719" builtinId="9" hidden="1"/>
    <cellStyle name="Followed Hyperlink" xfId="4721" builtinId="9" hidden="1"/>
    <cellStyle name="Followed Hyperlink" xfId="4723" builtinId="9" hidden="1"/>
    <cellStyle name="Followed Hyperlink" xfId="4725" builtinId="9" hidden="1"/>
    <cellStyle name="Followed Hyperlink" xfId="4727" builtinId="9" hidden="1"/>
    <cellStyle name="Followed Hyperlink" xfId="4729" builtinId="9" hidden="1"/>
    <cellStyle name="Followed Hyperlink" xfId="4731" builtinId="9" hidden="1"/>
    <cellStyle name="Followed Hyperlink" xfId="4733" builtinId="9" hidden="1"/>
    <cellStyle name="Followed Hyperlink" xfId="4735" builtinId="9" hidden="1"/>
    <cellStyle name="Followed Hyperlink" xfId="4737" builtinId="9" hidden="1"/>
    <cellStyle name="Followed Hyperlink" xfId="4739" builtinId="9" hidden="1"/>
    <cellStyle name="Followed Hyperlink" xfId="4741" builtinId="9" hidden="1"/>
    <cellStyle name="Followed Hyperlink" xfId="4743" builtinId="9" hidden="1"/>
    <cellStyle name="Followed Hyperlink" xfId="4745" builtinId="9" hidden="1"/>
    <cellStyle name="Followed Hyperlink" xfId="4747" builtinId="9" hidden="1"/>
    <cellStyle name="Followed Hyperlink" xfId="4749" builtinId="9" hidden="1"/>
    <cellStyle name="Followed Hyperlink" xfId="4751" builtinId="9" hidden="1"/>
    <cellStyle name="Followed Hyperlink" xfId="4753" builtinId="9" hidden="1"/>
    <cellStyle name="Followed Hyperlink" xfId="4755" builtinId="9" hidden="1"/>
    <cellStyle name="Followed Hyperlink" xfId="4757" builtinId="9" hidden="1"/>
    <cellStyle name="Followed Hyperlink" xfId="4759" builtinId="9" hidden="1"/>
    <cellStyle name="Followed Hyperlink" xfId="4761" builtinId="9" hidden="1"/>
    <cellStyle name="Followed Hyperlink" xfId="4763" builtinId="9" hidden="1"/>
    <cellStyle name="Followed Hyperlink" xfId="4765" builtinId="9" hidden="1"/>
    <cellStyle name="Followed Hyperlink" xfId="4767" builtinId="9" hidden="1"/>
    <cellStyle name="Followed Hyperlink" xfId="4769" builtinId="9" hidden="1"/>
    <cellStyle name="Followed Hyperlink" xfId="4771" builtinId="9" hidden="1"/>
    <cellStyle name="Followed Hyperlink" xfId="4773" builtinId="9" hidden="1"/>
    <cellStyle name="Followed Hyperlink" xfId="4775" builtinId="9" hidden="1"/>
    <cellStyle name="Followed Hyperlink" xfId="4777" builtinId="9" hidden="1"/>
    <cellStyle name="Followed Hyperlink" xfId="4779" builtinId="9" hidden="1"/>
    <cellStyle name="Followed Hyperlink" xfId="4781" builtinId="9" hidden="1"/>
    <cellStyle name="Followed Hyperlink" xfId="4783" builtinId="9" hidden="1"/>
    <cellStyle name="Followed Hyperlink" xfId="4785" builtinId="9" hidden="1"/>
    <cellStyle name="Followed Hyperlink" xfId="4787" builtinId="9" hidden="1"/>
    <cellStyle name="Followed Hyperlink" xfId="4789" builtinId="9" hidden="1"/>
    <cellStyle name="Followed Hyperlink" xfId="4791" builtinId="9" hidden="1"/>
    <cellStyle name="Followed Hyperlink" xfId="4793" builtinId="9" hidden="1"/>
    <cellStyle name="Followed Hyperlink" xfId="4795" builtinId="9" hidden="1"/>
    <cellStyle name="Followed Hyperlink" xfId="4797" builtinId="9" hidden="1"/>
    <cellStyle name="Followed Hyperlink" xfId="4799" builtinId="9" hidden="1"/>
    <cellStyle name="Followed Hyperlink" xfId="4801" builtinId="9" hidden="1"/>
    <cellStyle name="Followed Hyperlink" xfId="4803" builtinId="9" hidden="1"/>
    <cellStyle name="Followed Hyperlink" xfId="4805" builtinId="9" hidden="1"/>
    <cellStyle name="Followed Hyperlink" xfId="4807" builtinId="9" hidden="1"/>
    <cellStyle name="Followed Hyperlink" xfId="4809" builtinId="9" hidden="1"/>
    <cellStyle name="Followed Hyperlink" xfId="4811" builtinId="9" hidden="1"/>
    <cellStyle name="Followed Hyperlink" xfId="4813" builtinId="9" hidden="1"/>
    <cellStyle name="Followed Hyperlink" xfId="4815" builtinId="9" hidden="1"/>
    <cellStyle name="Followed Hyperlink" xfId="4817" builtinId="9" hidden="1"/>
    <cellStyle name="Followed Hyperlink" xfId="4819" builtinId="9" hidden="1"/>
    <cellStyle name="Followed Hyperlink" xfId="4821" builtinId="9" hidden="1"/>
    <cellStyle name="Followed Hyperlink" xfId="4823" builtinId="9" hidden="1"/>
    <cellStyle name="Followed Hyperlink" xfId="4825" builtinId="9" hidden="1"/>
    <cellStyle name="Followed Hyperlink" xfId="4827" builtinId="9" hidden="1"/>
    <cellStyle name="Followed Hyperlink" xfId="4829" builtinId="9" hidden="1"/>
    <cellStyle name="Followed Hyperlink" xfId="4831" builtinId="9" hidden="1"/>
    <cellStyle name="Followed Hyperlink" xfId="4833" builtinId="9" hidden="1"/>
    <cellStyle name="Followed Hyperlink" xfId="4835" builtinId="9" hidden="1"/>
    <cellStyle name="Followed Hyperlink" xfId="4837" builtinId="9" hidden="1"/>
    <cellStyle name="Followed Hyperlink" xfId="4839" builtinId="9" hidden="1"/>
    <cellStyle name="Followed Hyperlink" xfId="4841" builtinId="9" hidden="1"/>
    <cellStyle name="Followed Hyperlink" xfId="4843" builtinId="9" hidden="1"/>
    <cellStyle name="Followed Hyperlink" xfId="4845" builtinId="9" hidden="1"/>
    <cellStyle name="Followed Hyperlink" xfId="4847" builtinId="9" hidden="1"/>
    <cellStyle name="Followed Hyperlink" xfId="4849" builtinId="9" hidden="1"/>
    <cellStyle name="Followed Hyperlink" xfId="4851" builtinId="9" hidden="1"/>
    <cellStyle name="Followed Hyperlink" xfId="4853" builtinId="9" hidden="1"/>
    <cellStyle name="Followed Hyperlink" xfId="4855" builtinId="9" hidden="1"/>
    <cellStyle name="Followed Hyperlink" xfId="4857" builtinId="9" hidden="1"/>
    <cellStyle name="Followed Hyperlink" xfId="4859" builtinId="9" hidden="1"/>
    <cellStyle name="Followed Hyperlink" xfId="4861" builtinId="9" hidden="1"/>
    <cellStyle name="Followed Hyperlink" xfId="4863" builtinId="9" hidden="1"/>
    <cellStyle name="Followed Hyperlink" xfId="4865" builtinId="9" hidden="1"/>
    <cellStyle name="Followed Hyperlink" xfId="4867" builtinId="9" hidden="1"/>
    <cellStyle name="Followed Hyperlink" xfId="4869" builtinId="9" hidden="1"/>
    <cellStyle name="Followed Hyperlink" xfId="4871" builtinId="9" hidden="1"/>
    <cellStyle name="Followed Hyperlink" xfId="4873" builtinId="9" hidden="1"/>
    <cellStyle name="Followed Hyperlink" xfId="4875" builtinId="9" hidden="1"/>
    <cellStyle name="Followed Hyperlink" xfId="4877" builtinId="9" hidden="1"/>
    <cellStyle name="Followed Hyperlink" xfId="4879" builtinId="9" hidden="1"/>
    <cellStyle name="Followed Hyperlink" xfId="4881" builtinId="9" hidden="1"/>
    <cellStyle name="Followed Hyperlink" xfId="4883" builtinId="9" hidden="1"/>
    <cellStyle name="Followed Hyperlink" xfId="4885" builtinId="9" hidden="1"/>
    <cellStyle name="Followed Hyperlink" xfId="4887" builtinId="9" hidden="1"/>
    <cellStyle name="Followed Hyperlink" xfId="4889" builtinId="9" hidden="1"/>
    <cellStyle name="Followed Hyperlink" xfId="4891" builtinId="9" hidden="1"/>
    <cellStyle name="Followed Hyperlink" xfId="4893" builtinId="9" hidden="1"/>
    <cellStyle name="Followed Hyperlink" xfId="4895" builtinId="9" hidden="1"/>
    <cellStyle name="Followed Hyperlink" xfId="4897" builtinId="9" hidden="1"/>
    <cellStyle name="Followed Hyperlink" xfId="4899" builtinId="9" hidden="1"/>
    <cellStyle name="Followed Hyperlink" xfId="4901" builtinId="9" hidden="1"/>
    <cellStyle name="Followed Hyperlink" xfId="4903" builtinId="9" hidden="1"/>
    <cellStyle name="Followed Hyperlink" xfId="4905" builtinId="9" hidden="1"/>
    <cellStyle name="Followed Hyperlink" xfId="4907" builtinId="9" hidden="1"/>
    <cellStyle name="Followed Hyperlink" xfId="4909" builtinId="9" hidden="1"/>
    <cellStyle name="Followed Hyperlink" xfId="4911" builtinId="9" hidden="1"/>
    <cellStyle name="Followed Hyperlink" xfId="4913" builtinId="9" hidden="1"/>
    <cellStyle name="Followed Hyperlink" xfId="4915" builtinId="9" hidden="1"/>
    <cellStyle name="Followed Hyperlink" xfId="4917" builtinId="9" hidden="1"/>
    <cellStyle name="Followed Hyperlink" xfId="4919" builtinId="9" hidden="1"/>
    <cellStyle name="Followed Hyperlink" xfId="4921" builtinId="9" hidden="1"/>
    <cellStyle name="Followed Hyperlink" xfId="4923" builtinId="9" hidden="1"/>
    <cellStyle name="Followed Hyperlink" xfId="4925" builtinId="9" hidden="1"/>
    <cellStyle name="Followed Hyperlink" xfId="4927" builtinId="9" hidden="1"/>
    <cellStyle name="Followed Hyperlink" xfId="4929" builtinId="9" hidden="1"/>
    <cellStyle name="Followed Hyperlink" xfId="4931" builtinId="9" hidden="1"/>
    <cellStyle name="Followed Hyperlink" xfId="4933" builtinId="9" hidden="1"/>
    <cellStyle name="Followed Hyperlink" xfId="4935" builtinId="9" hidden="1"/>
    <cellStyle name="Followed Hyperlink" xfId="4937" builtinId="9" hidden="1"/>
    <cellStyle name="Followed Hyperlink" xfId="4939" builtinId="9" hidden="1"/>
    <cellStyle name="Followed Hyperlink" xfId="4941" builtinId="9" hidden="1"/>
    <cellStyle name="Followed Hyperlink" xfId="4943" builtinId="9" hidden="1"/>
    <cellStyle name="Followed Hyperlink" xfId="4945" builtinId="9" hidden="1"/>
    <cellStyle name="Followed Hyperlink" xfId="4947" builtinId="9" hidden="1"/>
    <cellStyle name="Followed Hyperlink" xfId="4949" builtinId="9" hidden="1"/>
    <cellStyle name="Followed Hyperlink" xfId="4951" builtinId="9" hidden="1"/>
    <cellStyle name="Followed Hyperlink" xfId="4953" builtinId="9" hidden="1"/>
    <cellStyle name="Followed Hyperlink" xfId="4955" builtinId="9" hidden="1"/>
    <cellStyle name="Followed Hyperlink" xfId="4957" builtinId="9" hidden="1"/>
    <cellStyle name="Followed Hyperlink" xfId="4959" builtinId="9" hidden="1"/>
    <cellStyle name="Followed Hyperlink" xfId="4961" builtinId="9" hidden="1"/>
    <cellStyle name="Followed Hyperlink" xfId="4963" builtinId="9" hidden="1"/>
    <cellStyle name="Followed Hyperlink" xfId="4965" builtinId="9" hidden="1"/>
    <cellStyle name="Followed Hyperlink" xfId="4967" builtinId="9" hidden="1"/>
    <cellStyle name="Followed Hyperlink" xfId="4969" builtinId="9" hidden="1"/>
    <cellStyle name="Followed Hyperlink" xfId="4971" builtinId="9" hidden="1"/>
    <cellStyle name="Followed Hyperlink" xfId="4973" builtinId="9" hidden="1"/>
    <cellStyle name="Followed Hyperlink" xfId="4975" builtinId="9" hidden="1"/>
    <cellStyle name="Followed Hyperlink" xfId="4977" builtinId="9" hidden="1"/>
    <cellStyle name="Followed Hyperlink" xfId="4979" builtinId="9" hidden="1"/>
    <cellStyle name="Followed Hyperlink" xfId="4981" builtinId="9" hidden="1"/>
    <cellStyle name="Followed Hyperlink" xfId="4983" builtinId="9" hidden="1"/>
    <cellStyle name="Followed Hyperlink" xfId="4985" builtinId="9" hidden="1"/>
    <cellStyle name="Followed Hyperlink" xfId="4987" builtinId="9" hidden="1"/>
    <cellStyle name="Followed Hyperlink" xfId="4989" builtinId="9" hidden="1"/>
    <cellStyle name="Followed Hyperlink" xfId="4991" builtinId="9" hidden="1"/>
    <cellStyle name="Followed Hyperlink" xfId="4993" builtinId="9" hidden="1"/>
    <cellStyle name="Followed Hyperlink" xfId="4995" builtinId="9" hidden="1"/>
    <cellStyle name="Followed Hyperlink" xfId="4997" builtinId="9" hidden="1"/>
    <cellStyle name="Followed Hyperlink" xfId="4999" builtinId="9" hidden="1"/>
    <cellStyle name="Followed Hyperlink" xfId="5001" builtinId="9" hidden="1"/>
    <cellStyle name="Followed Hyperlink" xfId="5003" builtinId="9" hidden="1"/>
    <cellStyle name="Followed Hyperlink" xfId="5005" builtinId="9" hidden="1"/>
    <cellStyle name="Followed Hyperlink" xfId="5007" builtinId="9" hidden="1"/>
    <cellStyle name="Followed Hyperlink" xfId="5009" builtinId="9" hidden="1"/>
    <cellStyle name="Followed Hyperlink" xfId="5011" builtinId="9" hidden="1"/>
    <cellStyle name="Followed Hyperlink" xfId="5013" builtinId="9" hidden="1"/>
    <cellStyle name="Followed Hyperlink" xfId="5015" builtinId="9" hidden="1"/>
    <cellStyle name="Followed Hyperlink" xfId="5017" builtinId="9" hidden="1"/>
    <cellStyle name="Followed Hyperlink" xfId="5019" builtinId="9" hidden="1"/>
    <cellStyle name="Followed Hyperlink" xfId="5021" builtinId="9" hidden="1"/>
    <cellStyle name="Followed Hyperlink" xfId="5023" builtinId="9" hidden="1"/>
    <cellStyle name="Followed Hyperlink" xfId="5025" builtinId="9" hidden="1"/>
    <cellStyle name="Followed Hyperlink" xfId="5027" builtinId="9" hidden="1"/>
    <cellStyle name="Followed Hyperlink" xfId="5029" builtinId="9" hidden="1"/>
    <cellStyle name="Followed Hyperlink" xfId="5031" builtinId="9" hidden="1"/>
    <cellStyle name="Followed Hyperlink" xfId="5033" builtinId="9" hidden="1"/>
    <cellStyle name="Followed Hyperlink" xfId="5035" builtinId="9" hidden="1"/>
    <cellStyle name="Followed Hyperlink" xfId="5037" builtinId="9" hidden="1"/>
    <cellStyle name="Followed Hyperlink" xfId="5039" builtinId="9" hidden="1"/>
    <cellStyle name="Followed Hyperlink" xfId="5041" builtinId="9" hidden="1"/>
    <cellStyle name="Followed Hyperlink" xfId="5043" builtinId="9" hidden="1"/>
    <cellStyle name="Followed Hyperlink" xfId="5045" builtinId="9" hidden="1"/>
    <cellStyle name="Followed Hyperlink" xfId="5047" builtinId="9" hidden="1"/>
    <cellStyle name="Followed Hyperlink" xfId="5049" builtinId="9" hidden="1"/>
    <cellStyle name="Followed Hyperlink" xfId="5051" builtinId="9" hidden="1"/>
    <cellStyle name="Followed Hyperlink" xfId="5053" builtinId="9" hidden="1"/>
    <cellStyle name="Followed Hyperlink" xfId="5055" builtinId="9" hidden="1"/>
    <cellStyle name="Followed Hyperlink" xfId="5057" builtinId="9" hidden="1"/>
    <cellStyle name="Followed Hyperlink" xfId="5059" builtinId="9" hidden="1"/>
    <cellStyle name="Followed Hyperlink" xfId="5061" builtinId="9" hidden="1"/>
    <cellStyle name="Followed Hyperlink" xfId="5063" builtinId="9" hidden="1"/>
    <cellStyle name="Followed Hyperlink" xfId="5065" builtinId="9" hidden="1"/>
    <cellStyle name="Followed Hyperlink" xfId="5067" builtinId="9" hidden="1"/>
    <cellStyle name="Followed Hyperlink" xfId="5069" builtinId="9" hidden="1"/>
    <cellStyle name="Followed Hyperlink" xfId="5071" builtinId="9" hidden="1"/>
    <cellStyle name="Followed Hyperlink" xfId="5073" builtinId="9" hidden="1"/>
    <cellStyle name="Followed Hyperlink" xfId="5075" builtinId="9" hidden="1"/>
    <cellStyle name="Followed Hyperlink" xfId="5077" builtinId="9" hidden="1"/>
    <cellStyle name="Followed Hyperlink" xfId="5079" builtinId="9" hidden="1"/>
    <cellStyle name="Followed Hyperlink" xfId="5081" builtinId="9" hidden="1"/>
    <cellStyle name="Followed Hyperlink" xfId="5083" builtinId="9" hidden="1"/>
    <cellStyle name="Followed Hyperlink" xfId="5085" builtinId="9" hidden="1"/>
    <cellStyle name="Followed Hyperlink" xfId="5087" builtinId="9" hidden="1"/>
    <cellStyle name="Followed Hyperlink" xfId="5089" builtinId="9" hidden="1"/>
    <cellStyle name="Followed Hyperlink" xfId="5091" builtinId="9" hidden="1"/>
    <cellStyle name="Followed Hyperlink" xfId="5093" builtinId="9" hidden="1"/>
    <cellStyle name="Followed Hyperlink" xfId="5095" builtinId="9" hidden="1"/>
    <cellStyle name="Followed Hyperlink" xfId="5097" builtinId="9" hidden="1"/>
    <cellStyle name="Followed Hyperlink" xfId="5099" builtinId="9" hidden="1"/>
    <cellStyle name="Followed Hyperlink" xfId="5101" builtinId="9" hidden="1"/>
    <cellStyle name="Followed Hyperlink" xfId="5103" builtinId="9" hidden="1"/>
    <cellStyle name="Followed Hyperlink" xfId="5105" builtinId="9" hidden="1"/>
    <cellStyle name="Followed Hyperlink" xfId="5107" builtinId="9" hidden="1"/>
    <cellStyle name="Followed Hyperlink" xfId="5109" builtinId="9" hidden="1"/>
    <cellStyle name="Followed Hyperlink" xfId="5111" builtinId="9" hidden="1"/>
    <cellStyle name="Followed Hyperlink" xfId="5113" builtinId="9" hidden="1"/>
    <cellStyle name="Followed Hyperlink" xfId="5115" builtinId="9" hidden="1"/>
    <cellStyle name="Followed Hyperlink" xfId="5117" builtinId="9" hidden="1"/>
    <cellStyle name="Followed Hyperlink" xfId="5119" builtinId="9" hidden="1"/>
    <cellStyle name="Followed Hyperlink" xfId="5121" builtinId="9" hidden="1"/>
    <cellStyle name="Followed Hyperlink" xfId="5123" builtinId="9" hidden="1"/>
    <cellStyle name="Followed Hyperlink" xfId="5125" builtinId="9" hidden="1"/>
    <cellStyle name="Followed Hyperlink" xfId="5127" builtinId="9" hidden="1"/>
    <cellStyle name="Followed Hyperlink" xfId="5129" builtinId="9" hidden="1"/>
    <cellStyle name="Followed Hyperlink" xfId="5131" builtinId="9" hidden="1"/>
    <cellStyle name="Followed Hyperlink" xfId="5133" builtinId="9" hidden="1"/>
    <cellStyle name="Followed Hyperlink" xfId="5135" builtinId="9" hidden="1"/>
    <cellStyle name="Followed Hyperlink" xfId="5137" builtinId="9" hidden="1"/>
    <cellStyle name="Followed Hyperlink" xfId="5139" builtinId="9" hidden="1"/>
    <cellStyle name="Followed Hyperlink" xfId="5141" builtinId="9" hidden="1"/>
    <cellStyle name="Followed Hyperlink" xfId="5143" builtinId="9" hidden="1"/>
    <cellStyle name="Followed Hyperlink" xfId="5145" builtinId="9" hidden="1"/>
    <cellStyle name="Followed Hyperlink" xfId="5147" builtinId="9" hidden="1"/>
    <cellStyle name="Followed Hyperlink" xfId="5149" builtinId="9" hidden="1"/>
    <cellStyle name="Followed Hyperlink" xfId="5151" builtinId="9" hidden="1"/>
    <cellStyle name="Followed Hyperlink" xfId="5153" builtinId="9" hidden="1"/>
    <cellStyle name="Followed Hyperlink" xfId="5155" builtinId="9" hidden="1"/>
    <cellStyle name="Followed Hyperlink" xfId="5157" builtinId="9" hidden="1"/>
    <cellStyle name="Followed Hyperlink" xfId="5159" builtinId="9" hidden="1"/>
    <cellStyle name="Followed Hyperlink" xfId="5161" builtinId="9" hidden="1"/>
    <cellStyle name="Followed Hyperlink" xfId="5163" builtinId="9" hidden="1"/>
    <cellStyle name="Followed Hyperlink" xfId="5165" builtinId="9" hidden="1"/>
    <cellStyle name="Followed Hyperlink" xfId="5167" builtinId="9" hidden="1"/>
    <cellStyle name="Followed Hyperlink" xfId="5169" builtinId="9" hidden="1"/>
    <cellStyle name="Followed Hyperlink" xfId="5171" builtinId="9" hidden="1"/>
    <cellStyle name="Followed Hyperlink" xfId="5173" builtinId="9" hidden="1"/>
    <cellStyle name="Followed Hyperlink" xfId="5175" builtinId="9" hidden="1"/>
    <cellStyle name="Followed Hyperlink" xfId="5177" builtinId="9" hidden="1"/>
    <cellStyle name="Followed Hyperlink" xfId="5179" builtinId="9" hidden="1"/>
    <cellStyle name="Followed Hyperlink" xfId="5181" builtinId="9" hidden="1"/>
    <cellStyle name="Followed Hyperlink" xfId="5183" builtinId="9" hidden="1"/>
    <cellStyle name="Followed Hyperlink" xfId="5185" builtinId="9" hidden="1"/>
    <cellStyle name="Followed Hyperlink" xfId="5187" builtinId="9" hidden="1"/>
    <cellStyle name="Followed Hyperlink" xfId="5189" builtinId="9" hidden="1"/>
    <cellStyle name="Followed Hyperlink" xfId="5191" builtinId="9" hidden="1"/>
    <cellStyle name="Followed Hyperlink" xfId="5193" builtinId="9" hidden="1"/>
    <cellStyle name="Followed Hyperlink" xfId="5195" builtinId="9" hidden="1"/>
    <cellStyle name="Followed Hyperlink" xfId="5197" builtinId="9" hidden="1"/>
    <cellStyle name="Followed Hyperlink" xfId="5199" builtinId="9" hidden="1"/>
    <cellStyle name="Followed Hyperlink" xfId="5201" builtinId="9" hidden="1"/>
    <cellStyle name="Followed Hyperlink" xfId="5203" builtinId="9" hidden="1"/>
    <cellStyle name="Followed Hyperlink" xfId="5205" builtinId="9" hidden="1"/>
    <cellStyle name="Followed Hyperlink" xfId="5207" builtinId="9" hidden="1"/>
    <cellStyle name="Followed Hyperlink" xfId="5209" builtinId="9" hidden="1"/>
    <cellStyle name="Followed Hyperlink" xfId="5211" builtinId="9" hidden="1"/>
    <cellStyle name="Followed Hyperlink" xfId="5213" builtinId="9" hidden="1"/>
    <cellStyle name="Followed Hyperlink" xfId="5215" builtinId="9" hidden="1"/>
    <cellStyle name="Followed Hyperlink" xfId="5217" builtinId="9" hidden="1"/>
    <cellStyle name="Followed Hyperlink" xfId="5219" builtinId="9" hidden="1"/>
    <cellStyle name="Followed Hyperlink" xfId="5221" builtinId="9" hidden="1"/>
    <cellStyle name="Followed Hyperlink" xfId="5223" builtinId="9" hidden="1"/>
    <cellStyle name="Followed Hyperlink" xfId="5225" builtinId="9" hidden="1"/>
    <cellStyle name="Followed Hyperlink" xfId="5227" builtinId="9" hidden="1"/>
    <cellStyle name="Followed Hyperlink" xfId="5229" builtinId="9" hidden="1"/>
    <cellStyle name="Followed Hyperlink" xfId="5231" builtinId="9" hidden="1"/>
    <cellStyle name="Followed Hyperlink" xfId="5233" builtinId="9" hidden="1"/>
    <cellStyle name="Followed Hyperlink" xfId="5235" builtinId="9" hidden="1"/>
    <cellStyle name="Followed Hyperlink" xfId="5237" builtinId="9" hidden="1"/>
    <cellStyle name="Followed Hyperlink" xfId="5239" builtinId="9" hidden="1"/>
    <cellStyle name="Followed Hyperlink" xfId="5241" builtinId="9" hidden="1"/>
    <cellStyle name="Followed Hyperlink" xfId="5243" builtinId="9" hidden="1"/>
    <cellStyle name="Followed Hyperlink" xfId="5245" builtinId="9" hidden="1"/>
    <cellStyle name="Followed Hyperlink" xfId="5247" builtinId="9" hidden="1"/>
    <cellStyle name="Followed Hyperlink" xfId="5249" builtinId="9" hidden="1"/>
    <cellStyle name="Followed Hyperlink" xfId="5251" builtinId="9" hidden="1"/>
    <cellStyle name="Followed Hyperlink" xfId="5253" builtinId="9" hidden="1"/>
    <cellStyle name="Followed Hyperlink" xfId="5255" builtinId="9" hidden="1"/>
    <cellStyle name="Followed Hyperlink" xfId="5257" builtinId="9" hidden="1"/>
    <cellStyle name="Followed Hyperlink" xfId="5259" builtinId="9" hidden="1"/>
    <cellStyle name="Followed Hyperlink" xfId="5261" builtinId="9" hidden="1"/>
    <cellStyle name="Followed Hyperlink" xfId="5263" builtinId="9" hidden="1"/>
    <cellStyle name="Followed Hyperlink" xfId="5265" builtinId="9" hidden="1"/>
    <cellStyle name="Followed Hyperlink" xfId="5267" builtinId="9" hidden="1"/>
    <cellStyle name="Followed Hyperlink" xfId="5269" builtinId="9" hidden="1"/>
    <cellStyle name="Followed Hyperlink" xfId="5271" builtinId="9" hidden="1"/>
    <cellStyle name="Followed Hyperlink" xfId="5273" builtinId="9" hidden="1"/>
    <cellStyle name="Followed Hyperlink" xfId="5275" builtinId="9" hidden="1"/>
    <cellStyle name="Followed Hyperlink" xfId="5277" builtinId="9" hidden="1"/>
    <cellStyle name="Followed Hyperlink" xfId="5279" builtinId="9" hidden="1"/>
    <cellStyle name="Followed Hyperlink" xfId="5281" builtinId="9" hidden="1"/>
    <cellStyle name="Followed Hyperlink" xfId="5283" builtinId="9" hidden="1"/>
    <cellStyle name="Followed Hyperlink" xfId="5285" builtinId="9" hidden="1"/>
    <cellStyle name="Followed Hyperlink" xfId="5287" builtinId="9" hidden="1"/>
    <cellStyle name="Followed Hyperlink" xfId="5289" builtinId="9" hidden="1"/>
    <cellStyle name="Followed Hyperlink" xfId="5291" builtinId="9" hidden="1"/>
    <cellStyle name="Followed Hyperlink" xfId="5293" builtinId="9" hidden="1"/>
    <cellStyle name="Followed Hyperlink" xfId="5295" builtinId="9" hidden="1"/>
    <cellStyle name="Followed Hyperlink" xfId="5297" builtinId="9" hidden="1"/>
    <cellStyle name="Followed Hyperlink" xfId="5299" builtinId="9" hidden="1"/>
    <cellStyle name="Followed Hyperlink" xfId="5301" builtinId="9" hidden="1"/>
    <cellStyle name="Followed Hyperlink" xfId="5303" builtinId="9" hidden="1"/>
    <cellStyle name="Followed Hyperlink" xfId="5305" builtinId="9" hidden="1"/>
    <cellStyle name="Followed Hyperlink" xfId="5307" builtinId="9" hidden="1"/>
    <cellStyle name="Followed Hyperlink" xfId="5309" builtinId="9" hidden="1"/>
    <cellStyle name="Followed Hyperlink" xfId="5311" builtinId="9" hidden="1"/>
    <cellStyle name="Followed Hyperlink" xfId="5313" builtinId="9" hidden="1"/>
    <cellStyle name="Followed Hyperlink" xfId="5315" builtinId="9" hidden="1"/>
    <cellStyle name="Followed Hyperlink" xfId="5317" builtinId="9" hidden="1"/>
    <cellStyle name="Followed Hyperlink" xfId="5319" builtinId="9" hidden="1"/>
    <cellStyle name="Followed Hyperlink" xfId="5321" builtinId="9" hidden="1"/>
    <cellStyle name="Followed Hyperlink" xfId="5323" builtinId="9" hidden="1"/>
    <cellStyle name="Followed Hyperlink" xfId="5325" builtinId="9" hidden="1"/>
    <cellStyle name="Followed Hyperlink" xfId="5327" builtinId="9" hidden="1"/>
    <cellStyle name="Followed Hyperlink" xfId="5329" builtinId="9" hidden="1"/>
    <cellStyle name="Followed Hyperlink" xfId="5331" builtinId="9" hidden="1"/>
    <cellStyle name="Followed Hyperlink" xfId="5333" builtinId="9" hidden="1"/>
    <cellStyle name="Followed Hyperlink" xfId="5335" builtinId="9" hidden="1"/>
    <cellStyle name="Followed Hyperlink" xfId="5337" builtinId="9" hidden="1"/>
    <cellStyle name="Followed Hyperlink" xfId="5339" builtinId="9" hidden="1"/>
    <cellStyle name="Followed Hyperlink" xfId="5341" builtinId="9" hidden="1"/>
    <cellStyle name="Followed Hyperlink" xfId="5343" builtinId="9" hidden="1"/>
    <cellStyle name="Followed Hyperlink" xfId="5345" builtinId="9" hidden="1"/>
    <cellStyle name="Followed Hyperlink" xfId="5347" builtinId="9" hidden="1"/>
    <cellStyle name="Followed Hyperlink" xfId="5349" builtinId="9" hidden="1"/>
    <cellStyle name="Followed Hyperlink" xfId="5351" builtinId="9" hidden="1"/>
    <cellStyle name="Followed Hyperlink" xfId="5353" builtinId="9" hidden="1"/>
    <cellStyle name="Followed Hyperlink" xfId="5355" builtinId="9" hidden="1"/>
    <cellStyle name="Followed Hyperlink" xfId="5357" builtinId="9" hidden="1"/>
    <cellStyle name="Followed Hyperlink" xfId="5359" builtinId="9" hidden="1"/>
    <cellStyle name="Followed Hyperlink" xfId="5361" builtinId="9" hidden="1"/>
    <cellStyle name="Followed Hyperlink" xfId="5363" builtinId="9" hidden="1"/>
    <cellStyle name="Followed Hyperlink" xfId="5365" builtinId="9" hidden="1"/>
    <cellStyle name="Followed Hyperlink" xfId="5367" builtinId="9" hidden="1"/>
    <cellStyle name="Followed Hyperlink" xfId="5369" builtinId="9" hidden="1"/>
    <cellStyle name="Followed Hyperlink" xfId="5371" builtinId="9" hidden="1"/>
    <cellStyle name="Followed Hyperlink" xfId="5373" builtinId="9" hidden="1"/>
    <cellStyle name="Followed Hyperlink" xfId="5375" builtinId="9" hidden="1"/>
    <cellStyle name="Followed Hyperlink" xfId="5377" builtinId="9" hidden="1"/>
    <cellStyle name="Followed Hyperlink" xfId="5379" builtinId="9" hidden="1"/>
    <cellStyle name="Followed Hyperlink" xfId="5381" builtinId="9" hidden="1"/>
    <cellStyle name="Followed Hyperlink" xfId="5383" builtinId="9" hidden="1"/>
    <cellStyle name="Followed Hyperlink" xfId="5385" builtinId="9" hidden="1"/>
    <cellStyle name="Followed Hyperlink" xfId="5387" builtinId="9" hidden="1"/>
    <cellStyle name="Followed Hyperlink" xfId="5389" builtinId="9" hidden="1"/>
    <cellStyle name="Followed Hyperlink" xfId="5391" builtinId="9" hidden="1"/>
    <cellStyle name="Followed Hyperlink" xfId="5393" builtinId="9" hidden="1"/>
    <cellStyle name="Followed Hyperlink" xfId="5395" builtinId="9" hidden="1"/>
    <cellStyle name="Followed Hyperlink" xfId="5397" builtinId="9" hidden="1"/>
    <cellStyle name="Followed Hyperlink" xfId="5399" builtinId="9" hidden="1"/>
    <cellStyle name="Followed Hyperlink" xfId="5401" builtinId="9" hidden="1"/>
    <cellStyle name="Followed Hyperlink" xfId="5403" builtinId="9" hidden="1"/>
    <cellStyle name="Followed Hyperlink" xfId="5405" builtinId="9" hidden="1"/>
    <cellStyle name="Followed Hyperlink" xfId="5407" builtinId="9" hidden="1"/>
    <cellStyle name="Followed Hyperlink" xfId="5409" builtinId="9" hidden="1"/>
    <cellStyle name="Followed Hyperlink" xfId="5411" builtinId="9" hidden="1"/>
    <cellStyle name="Followed Hyperlink" xfId="5413" builtinId="9" hidden="1"/>
    <cellStyle name="Followed Hyperlink" xfId="5415" builtinId="9" hidden="1"/>
    <cellStyle name="Followed Hyperlink" xfId="5417" builtinId="9" hidden="1"/>
    <cellStyle name="Followed Hyperlink" xfId="5419" builtinId="9" hidden="1"/>
    <cellStyle name="Followed Hyperlink" xfId="5421" builtinId="9" hidden="1"/>
    <cellStyle name="Followed Hyperlink" xfId="5423" builtinId="9" hidden="1"/>
    <cellStyle name="Followed Hyperlink" xfId="5425" builtinId="9" hidden="1"/>
    <cellStyle name="Followed Hyperlink" xfId="5427" builtinId="9" hidden="1"/>
    <cellStyle name="Followed Hyperlink" xfId="5429" builtinId="9" hidden="1"/>
    <cellStyle name="Followed Hyperlink" xfId="5431" builtinId="9" hidden="1"/>
    <cellStyle name="Followed Hyperlink" xfId="5433" builtinId="9" hidden="1"/>
    <cellStyle name="Followed Hyperlink" xfId="5435" builtinId="9" hidden="1"/>
    <cellStyle name="Followed Hyperlink" xfId="5437" builtinId="9" hidden="1"/>
    <cellStyle name="Followed Hyperlink" xfId="5439" builtinId="9" hidden="1"/>
    <cellStyle name="Followed Hyperlink" xfId="5441" builtinId="9" hidden="1"/>
    <cellStyle name="Followed Hyperlink" xfId="5443" builtinId="9" hidden="1"/>
    <cellStyle name="Followed Hyperlink" xfId="5445" builtinId="9" hidden="1"/>
    <cellStyle name="Followed Hyperlink" xfId="5447" builtinId="9" hidden="1"/>
    <cellStyle name="Followed Hyperlink" xfId="5449" builtinId="9" hidden="1"/>
    <cellStyle name="Followed Hyperlink" xfId="5451" builtinId="9" hidden="1"/>
    <cellStyle name="Followed Hyperlink" xfId="5453" builtinId="9" hidden="1"/>
    <cellStyle name="Followed Hyperlink" xfId="5455" builtinId="9" hidden="1"/>
    <cellStyle name="Followed Hyperlink" xfId="5457" builtinId="9" hidden="1"/>
    <cellStyle name="Followed Hyperlink" xfId="5459" builtinId="9" hidden="1"/>
    <cellStyle name="Followed Hyperlink" xfId="5461" builtinId="9" hidden="1"/>
    <cellStyle name="Followed Hyperlink" xfId="5463" builtinId="9" hidden="1"/>
    <cellStyle name="Followed Hyperlink" xfId="5465" builtinId="9" hidden="1"/>
    <cellStyle name="Followed Hyperlink" xfId="5467" builtinId="9" hidden="1"/>
    <cellStyle name="Followed Hyperlink" xfId="5469" builtinId="9" hidden="1"/>
    <cellStyle name="Followed Hyperlink" xfId="5471" builtinId="9" hidden="1"/>
    <cellStyle name="Followed Hyperlink" xfId="5473" builtinId="9" hidden="1"/>
    <cellStyle name="Followed Hyperlink" xfId="5475" builtinId="9" hidden="1"/>
    <cellStyle name="Followed Hyperlink" xfId="5477" builtinId="9" hidden="1"/>
    <cellStyle name="Followed Hyperlink" xfId="5479" builtinId="9" hidden="1"/>
    <cellStyle name="Followed Hyperlink" xfId="5481" builtinId="9" hidden="1"/>
    <cellStyle name="Followed Hyperlink" xfId="5483" builtinId="9" hidden="1"/>
    <cellStyle name="Followed Hyperlink" xfId="5485" builtinId="9" hidden="1"/>
    <cellStyle name="Followed Hyperlink" xfId="5487" builtinId="9" hidden="1"/>
    <cellStyle name="Followed Hyperlink" xfId="5489" builtinId="9" hidden="1"/>
    <cellStyle name="Followed Hyperlink" xfId="5491" builtinId="9" hidden="1"/>
    <cellStyle name="Followed Hyperlink" xfId="5493" builtinId="9" hidden="1"/>
    <cellStyle name="Followed Hyperlink" xfId="5495" builtinId="9" hidden="1"/>
    <cellStyle name="Followed Hyperlink" xfId="5497" builtinId="9" hidden="1"/>
    <cellStyle name="Followed Hyperlink" xfId="5499" builtinId="9" hidden="1"/>
    <cellStyle name="Followed Hyperlink" xfId="5501" builtinId="9" hidden="1"/>
    <cellStyle name="Followed Hyperlink" xfId="5503" builtinId="9" hidden="1"/>
    <cellStyle name="Followed Hyperlink" xfId="5505" builtinId="9" hidden="1"/>
    <cellStyle name="Followed Hyperlink" xfId="5507" builtinId="9" hidden="1"/>
    <cellStyle name="Followed Hyperlink" xfId="5509" builtinId="9" hidden="1"/>
    <cellStyle name="Followed Hyperlink" xfId="5511" builtinId="9" hidden="1"/>
    <cellStyle name="Followed Hyperlink" xfId="5513" builtinId="9" hidden="1"/>
    <cellStyle name="Followed Hyperlink" xfId="5515" builtinId="9" hidden="1"/>
    <cellStyle name="Followed Hyperlink" xfId="5517" builtinId="9" hidden="1"/>
    <cellStyle name="Followed Hyperlink" xfId="5519" builtinId="9" hidden="1"/>
    <cellStyle name="Followed Hyperlink" xfId="5521" builtinId="9" hidden="1"/>
    <cellStyle name="Followed Hyperlink" xfId="5523" builtinId="9" hidden="1"/>
    <cellStyle name="Followed Hyperlink" xfId="5525" builtinId="9" hidden="1"/>
    <cellStyle name="Followed Hyperlink" xfId="5527" builtinId="9" hidden="1"/>
    <cellStyle name="Followed Hyperlink" xfId="5529" builtinId="9" hidden="1"/>
    <cellStyle name="Followed Hyperlink" xfId="5531" builtinId="9" hidden="1"/>
    <cellStyle name="Followed Hyperlink" xfId="5533" builtinId="9" hidden="1"/>
    <cellStyle name="Followed Hyperlink" xfId="5535" builtinId="9" hidden="1"/>
    <cellStyle name="Followed Hyperlink" xfId="5537" builtinId="9" hidden="1"/>
    <cellStyle name="Followed Hyperlink" xfId="5539" builtinId="9" hidden="1"/>
    <cellStyle name="Followed Hyperlink" xfId="5541" builtinId="9" hidden="1"/>
    <cellStyle name="Followed Hyperlink" xfId="5543" builtinId="9" hidden="1"/>
    <cellStyle name="Followed Hyperlink" xfId="5545" builtinId="9" hidden="1"/>
    <cellStyle name="Followed Hyperlink" xfId="5547" builtinId="9" hidden="1"/>
    <cellStyle name="Followed Hyperlink" xfId="5549" builtinId="9" hidden="1"/>
    <cellStyle name="Followed Hyperlink" xfId="5551" builtinId="9" hidden="1"/>
    <cellStyle name="Followed Hyperlink" xfId="5553" builtinId="9" hidden="1"/>
    <cellStyle name="Followed Hyperlink" xfId="5555" builtinId="9" hidden="1"/>
    <cellStyle name="Followed Hyperlink" xfId="5557" builtinId="9" hidden="1"/>
    <cellStyle name="Followed Hyperlink" xfId="5559" builtinId="9" hidden="1"/>
    <cellStyle name="Followed Hyperlink" xfId="5561" builtinId="9" hidden="1"/>
    <cellStyle name="Followed Hyperlink" xfId="5563" builtinId="9" hidden="1"/>
    <cellStyle name="Followed Hyperlink" xfId="5565" builtinId="9" hidden="1"/>
    <cellStyle name="Followed Hyperlink" xfId="5567" builtinId="9" hidden="1"/>
    <cellStyle name="Followed Hyperlink" xfId="5569" builtinId="9" hidden="1"/>
    <cellStyle name="Followed Hyperlink" xfId="5571" builtinId="9" hidden="1"/>
    <cellStyle name="Followed Hyperlink" xfId="5573" builtinId="9" hidden="1"/>
    <cellStyle name="Followed Hyperlink" xfId="5575" builtinId="9" hidden="1"/>
    <cellStyle name="Followed Hyperlink" xfId="5577" builtinId="9" hidden="1"/>
    <cellStyle name="Followed Hyperlink" xfId="5579" builtinId="9" hidden="1"/>
    <cellStyle name="Followed Hyperlink" xfId="5581" builtinId="9" hidden="1"/>
    <cellStyle name="Followed Hyperlink" xfId="5583" builtinId="9" hidden="1"/>
    <cellStyle name="Followed Hyperlink" xfId="5585" builtinId="9" hidden="1"/>
    <cellStyle name="Followed Hyperlink" xfId="5587" builtinId="9" hidden="1"/>
    <cellStyle name="Followed Hyperlink" xfId="5589" builtinId="9" hidden="1"/>
    <cellStyle name="Followed Hyperlink" xfId="5591" builtinId="9" hidden="1"/>
    <cellStyle name="Followed Hyperlink" xfId="5593" builtinId="9" hidden="1"/>
    <cellStyle name="Followed Hyperlink" xfId="5595" builtinId="9" hidden="1"/>
    <cellStyle name="Followed Hyperlink" xfId="5597" builtinId="9" hidden="1"/>
    <cellStyle name="Followed Hyperlink" xfId="5599" builtinId="9" hidden="1"/>
    <cellStyle name="Followed Hyperlink" xfId="5601" builtinId="9" hidden="1"/>
    <cellStyle name="Followed Hyperlink" xfId="5603" builtinId="9" hidden="1"/>
    <cellStyle name="Followed Hyperlink" xfId="5605" builtinId="9" hidden="1"/>
    <cellStyle name="Followed Hyperlink" xfId="5607" builtinId="9" hidden="1"/>
    <cellStyle name="Followed Hyperlink" xfId="5609" builtinId="9" hidden="1"/>
    <cellStyle name="Followed Hyperlink" xfId="5611" builtinId="9" hidden="1"/>
    <cellStyle name="Followed Hyperlink" xfId="5613" builtinId="9" hidden="1"/>
    <cellStyle name="Followed Hyperlink" xfId="5615" builtinId="9" hidden="1"/>
    <cellStyle name="Followed Hyperlink" xfId="5617" builtinId="9" hidden="1"/>
    <cellStyle name="Followed Hyperlink" xfId="5619" builtinId="9" hidden="1"/>
    <cellStyle name="Followed Hyperlink" xfId="5621" builtinId="9" hidden="1"/>
    <cellStyle name="Followed Hyperlink" xfId="5623" builtinId="9" hidden="1"/>
    <cellStyle name="Followed Hyperlink" xfId="5625" builtinId="9" hidden="1"/>
    <cellStyle name="Followed Hyperlink" xfId="5627" builtinId="9" hidden="1"/>
    <cellStyle name="Followed Hyperlink" xfId="5629" builtinId="9" hidden="1"/>
    <cellStyle name="Followed Hyperlink" xfId="5631" builtinId="9" hidden="1"/>
    <cellStyle name="Followed Hyperlink" xfId="5633" builtinId="9" hidden="1"/>
    <cellStyle name="Followed Hyperlink" xfId="5635" builtinId="9" hidden="1"/>
    <cellStyle name="Followed Hyperlink" xfId="5637" builtinId="9" hidden="1"/>
    <cellStyle name="Followed Hyperlink" xfId="5639" builtinId="9" hidden="1"/>
    <cellStyle name="Followed Hyperlink" xfId="5641" builtinId="9" hidden="1"/>
    <cellStyle name="Followed Hyperlink" xfId="5643" builtinId="9" hidden="1"/>
    <cellStyle name="Followed Hyperlink" xfId="5645" builtinId="9" hidden="1"/>
    <cellStyle name="Followed Hyperlink" xfId="5647" builtinId="9" hidden="1"/>
    <cellStyle name="Followed Hyperlink" xfId="5649" builtinId="9" hidden="1"/>
    <cellStyle name="Followed Hyperlink" xfId="5651" builtinId="9" hidden="1"/>
    <cellStyle name="Followed Hyperlink" xfId="5653" builtinId="9" hidden="1"/>
    <cellStyle name="Followed Hyperlink" xfId="5655" builtinId="9" hidden="1"/>
    <cellStyle name="Followed Hyperlink" xfId="5657" builtinId="9" hidden="1"/>
    <cellStyle name="Followed Hyperlink" xfId="5659" builtinId="9" hidden="1"/>
    <cellStyle name="Followed Hyperlink" xfId="5661" builtinId="9" hidden="1"/>
    <cellStyle name="Followed Hyperlink" xfId="5663" builtinId="9" hidden="1"/>
    <cellStyle name="Followed Hyperlink" xfId="5665" builtinId="9" hidden="1"/>
    <cellStyle name="Followed Hyperlink" xfId="5667" builtinId="9" hidden="1"/>
    <cellStyle name="Followed Hyperlink" xfId="5669" builtinId="9" hidden="1"/>
    <cellStyle name="Followed Hyperlink" xfId="5671" builtinId="9" hidden="1"/>
    <cellStyle name="Followed Hyperlink" xfId="5673" builtinId="9" hidden="1"/>
    <cellStyle name="Followed Hyperlink" xfId="5675" builtinId="9" hidden="1"/>
    <cellStyle name="Followed Hyperlink" xfId="5677" builtinId="9" hidden="1"/>
    <cellStyle name="Followed Hyperlink" xfId="5679" builtinId="9" hidden="1"/>
    <cellStyle name="Followed Hyperlink" xfId="5681" builtinId="9" hidden="1"/>
    <cellStyle name="Followed Hyperlink" xfId="5683" builtinId="9" hidden="1"/>
    <cellStyle name="Followed Hyperlink" xfId="5685" builtinId="9" hidden="1"/>
    <cellStyle name="Followed Hyperlink" xfId="5687" builtinId="9" hidden="1"/>
    <cellStyle name="Followed Hyperlink" xfId="5689" builtinId="9" hidden="1"/>
    <cellStyle name="Followed Hyperlink" xfId="5691" builtinId="9" hidden="1"/>
    <cellStyle name="Followed Hyperlink" xfId="5693" builtinId="9" hidden="1"/>
    <cellStyle name="Followed Hyperlink" xfId="5695" builtinId="9" hidden="1"/>
    <cellStyle name="Followed Hyperlink" xfId="5697" builtinId="9" hidden="1"/>
    <cellStyle name="Followed Hyperlink" xfId="5699" builtinId="9" hidden="1"/>
    <cellStyle name="Followed Hyperlink" xfId="5701" builtinId="9" hidden="1"/>
    <cellStyle name="Followed Hyperlink" xfId="5703" builtinId="9" hidden="1"/>
    <cellStyle name="Followed Hyperlink" xfId="5705" builtinId="9" hidden="1"/>
    <cellStyle name="Followed Hyperlink" xfId="5707" builtinId="9" hidden="1"/>
    <cellStyle name="Followed Hyperlink" xfId="5709" builtinId="9" hidden="1"/>
    <cellStyle name="Followed Hyperlink" xfId="5711" builtinId="9" hidden="1"/>
    <cellStyle name="Followed Hyperlink" xfId="5713" builtinId="9" hidden="1"/>
    <cellStyle name="Followed Hyperlink" xfId="5715" builtinId="9" hidden="1"/>
    <cellStyle name="Followed Hyperlink" xfId="5717" builtinId="9" hidden="1"/>
    <cellStyle name="Followed Hyperlink" xfId="5719" builtinId="9" hidden="1"/>
    <cellStyle name="Followed Hyperlink" xfId="5721" builtinId="9" hidden="1"/>
    <cellStyle name="Followed Hyperlink" xfId="5723" builtinId="9" hidden="1"/>
    <cellStyle name="Followed Hyperlink" xfId="5725" builtinId="9" hidden="1"/>
    <cellStyle name="Followed Hyperlink" xfId="5727" builtinId="9" hidden="1"/>
    <cellStyle name="Followed Hyperlink" xfId="5729" builtinId="9" hidden="1"/>
    <cellStyle name="Followed Hyperlink" xfId="5731" builtinId="9" hidden="1"/>
    <cellStyle name="Followed Hyperlink" xfId="5733" builtinId="9" hidden="1"/>
    <cellStyle name="Followed Hyperlink" xfId="5735" builtinId="9" hidden="1"/>
    <cellStyle name="Followed Hyperlink" xfId="5737" builtinId="9" hidden="1"/>
    <cellStyle name="Followed Hyperlink" xfId="5739" builtinId="9" hidden="1"/>
    <cellStyle name="Followed Hyperlink" xfId="5741" builtinId="9" hidden="1"/>
    <cellStyle name="Followed Hyperlink" xfId="5743" builtinId="9" hidden="1"/>
    <cellStyle name="Followed Hyperlink" xfId="5745" builtinId="9" hidden="1"/>
    <cellStyle name="Followed Hyperlink" xfId="5747" builtinId="9" hidden="1"/>
    <cellStyle name="Followed Hyperlink" xfId="5749" builtinId="9" hidden="1"/>
    <cellStyle name="Followed Hyperlink" xfId="5751" builtinId="9" hidden="1"/>
    <cellStyle name="Followed Hyperlink" xfId="5753" builtinId="9" hidden="1"/>
    <cellStyle name="Followed Hyperlink" xfId="5755" builtinId="9" hidden="1"/>
    <cellStyle name="Followed Hyperlink" xfId="5757" builtinId="9" hidden="1"/>
    <cellStyle name="Followed Hyperlink" xfId="5759" builtinId="9" hidden="1"/>
    <cellStyle name="Followed Hyperlink" xfId="5761" builtinId="9" hidden="1"/>
    <cellStyle name="Followed Hyperlink" xfId="5763" builtinId="9" hidden="1"/>
    <cellStyle name="Followed Hyperlink" xfId="5765" builtinId="9" hidden="1"/>
    <cellStyle name="Followed Hyperlink" xfId="5767" builtinId="9" hidden="1"/>
    <cellStyle name="Followed Hyperlink" xfId="5769" builtinId="9" hidden="1"/>
    <cellStyle name="Followed Hyperlink" xfId="5771" builtinId="9" hidden="1"/>
    <cellStyle name="Followed Hyperlink" xfId="5773" builtinId="9" hidden="1"/>
    <cellStyle name="Followed Hyperlink" xfId="5775" builtinId="9" hidden="1"/>
    <cellStyle name="Followed Hyperlink" xfId="5777" builtinId="9" hidden="1"/>
    <cellStyle name="Followed Hyperlink" xfId="5779" builtinId="9" hidden="1"/>
    <cellStyle name="Followed Hyperlink" xfId="5781" builtinId="9" hidden="1"/>
    <cellStyle name="Followed Hyperlink" xfId="5783" builtinId="9" hidden="1"/>
    <cellStyle name="Followed Hyperlink" xfId="5785" builtinId="9" hidden="1"/>
    <cellStyle name="Followed Hyperlink" xfId="5787" builtinId="9" hidden="1"/>
    <cellStyle name="Followed Hyperlink" xfId="5789" builtinId="9" hidden="1"/>
    <cellStyle name="Followed Hyperlink" xfId="5791" builtinId="9" hidden="1"/>
    <cellStyle name="Followed Hyperlink" xfId="5793" builtinId="9" hidden="1"/>
    <cellStyle name="Followed Hyperlink" xfId="5795" builtinId="9" hidden="1"/>
    <cellStyle name="Followed Hyperlink" xfId="5797" builtinId="9" hidden="1"/>
    <cellStyle name="Followed Hyperlink" xfId="5799" builtinId="9" hidden="1"/>
    <cellStyle name="Followed Hyperlink" xfId="5801" builtinId="9" hidden="1"/>
    <cellStyle name="Followed Hyperlink" xfId="5803" builtinId="9" hidden="1"/>
    <cellStyle name="Followed Hyperlink" xfId="5805" builtinId="9" hidden="1"/>
    <cellStyle name="Followed Hyperlink" xfId="5807" builtinId="9" hidden="1"/>
    <cellStyle name="Followed Hyperlink" xfId="5809" builtinId="9" hidden="1"/>
    <cellStyle name="Followed Hyperlink" xfId="5811" builtinId="9" hidden="1"/>
    <cellStyle name="Followed Hyperlink" xfId="5813" builtinId="9" hidden="1"/>
    <cellStyle name="Followed Hyperlink" xfId="5815" builtinId="9" hidden="1"/>
    <cellStyle name="Followed Hyperlink" xfId="5817" builtinId="9" hidden="1"/>
    <cellStyle name="Followed Hyperlink" xfId="5819" builtinId="9" hidden="1"/>
    <cellStyle name="Followed Hyperlink" xfId="5821" builtinId="9" hidden="1"/>
    <cellStyle name="Followed Hyperlink" xfId="5823" builtinId="9" hidden="1"/>
    <cellStyle name="Followed Hyperlink" xfId="5825" builtinId="9" hidden="1"/>
    <cellStyle name="Followed Hyperlink" xfId="5827" builtinId="9" hidden="1"/>
    <cellStyle name="Followed Hyperlink" xfId="5829" builtinId="9" hidden="1"/>
    <cellStyle name="Followed Hyperlink" xfId="5831" builtinId="9" hidden="1"/>
    <cellStyle name="Followed Hyperlink" xfId="5833" builtinId="9" hidden="1"/>
    <cellStyle name="Followed Hyperlink" xfId="5835" builtinId="9" hidden="1"/>
    <cellStyle name="Followed Hyperlink" xfId="5837" builtinId="9" hidden="1"/>
    <cellStyle name="Followed Hyperlink" xfId="5839" builtinId="9" hidden="1"/>
    <cellStyle name="Followed Hyperlink" xfId="5841" builtinId="9" hidden="1"/>
    <cellStyle name="Followed Hyperlink" xfId="5843" builtinId="9" hidden="1"/>
    <cellStyle name="Followed Hyperlink" xfId="5845" builtinId="9" hidden="1"/>
    <cellStyle name="Followed Hyperlink" xfId="5847" builtinId="9" hidden="1"/>
    <cellStyle name="Followed Hyperlink" xfId="5849" builtinId="9" hidden="1"/>
    <cellStyle name="Followed Hyperlink" xfId="5851" builtinId="9" hidden="1"/>
    <cellStyle name="Followed Hyperlink" xfId="5853" builtinId="9" hidden="1"/>
    <cellStyle name="Followed Hyperlink" xfId="5855" builtinId="9" hidden="1"/>
    <cellStyle name="Followed Hyperlink" xfId="5857" builtinId="9" hidden="1"/>
    <cellStyle name="Followed Hyperlink" xfId="5859" builtinId="9" hidden="1"/>
    <cellStyle name="Followed Hyperlink" xfId="5861" builtinId="9" hidden="1"/>
    <cellStyle name="Followed Hyperlink" xfId="5863" builtinId="9" hidden="1"/>
    <cellStyle name="Followed Hyperlink" xfId="5865" builtinId="9" hidden="1"/>
    <cellStyle name="Followed Hyperlink" xfId="5867" builtinId="9" hidden="1"/>
    <cellStyle name="Followed Hyperlink" xfId="5869" builtinId="9" hidden="1"/>
    <cellStyle name="Followed Hyperlink" xfId="5871" builtinId="9" hidden="1"/>
    <cellStyle name="Followed Hyperlink" xfId="5873" builtinId="9" hidden="1"/>
    <cellStyle name="Followed Hyperlink" xfId="5875" builtinId="9" hidden="1"/>
    <cellStyle name="Followed Hyperlink" xfId="5877" builtinId="9" hidden="1"/>
    <cellStyle name="Followed Hyperlink" xfId="5879" builtinId="9" hidden="1"/>
    <cellStyle name="Followed Hyperlink" xfId="5881" builtinId="9" hidden="1"/>
    <cellStyle name="Followed Hyperlink" xfId="5883" builtinId="9" hidden="1"/>
    <cellStyle name="Followed Hyperlink" xfId="5885" builtinId="9" hidden="1"/>
    <cellStyle name="Followed Hyperlink" xfId="5887" builtinId="9" hidden="1"/>
    <cellStyle name="Followed Hyperlink" xfId="5889" builtinId="9" hidden="1"/>
    <cellStyle name="Followed Hyperlink" xfId="5891" builtinId="9" hidden="1"/>
    <cellStyle name="Followed Hyperlink" xfId="5893" builtinId="9" hidden="1"/>
    <cellStyle name="Followed Hyperlink" xfId="5895" builtinId="9" hidden="1"/>
    <cellStyle name="Followed Hyperlink" xfId="5897" builtinId="9" hidden="1"/>
    <cellStyle name="Followed Hyperlink" xfId="5899" builtinId="9" hidden="1"/>
    <cellStyle name="Followed Hyperlink" xfId="5901" builtinId="9" hidden="1"/>
    <cellStyle name="Followed Hyperlink" xfId="5903" builtinId="9" hidden="1"/>
    <cellStyle name="Followed Hyperlink" xfId="5905" builtinId="9" hidden="1"/>
    <cellStyle name="Followed Hyperlink" xfId="5907" builtinId="9" hidden="1"/>
    <cellStyle name="Followed Hyperlink" xfId="5909" builtinId="9" hidden="1"/>
    <cellStyle name="Followed Hyperlink" xfId="5911" builtinId="9" hidden="1"/>
    <cellStyle name="Followed Hyperlink" xfId="5913" builtinId="9" hidden="1"/>
    <cellStyle name="Followed Hyperlink" xfId="5915" builtinId="9" hidden="1"/>
    <cellStyle name="Followed Hyperlink" xfId="5917" builtinId="9" hidden="1"/>
    <cellStyle name="Followed Hyperlink" xfId="5919" builtinId="9" hidden="1"/>
    <cellStyle name="Followed Hyperlink" xfId="5921" builtinId="9" hidden="1"/>
    <cellStyle name="Followed Hyperlink" xfId="5923" builtinId="9" hidden="1"/>
    <cellStyle name="Followed Hyperlink" xfId="5925" builtinId="9" hidden="1"/>
    <cellStyle name="Followed Hyperlink" xfId="5927" builtinId="9" hidden="1"/>
    <cellStyle name="Followed Hyperlink" xfId="5929" builtinId="9" hidden="1"/>
    <cellStyle name="Followed Hyperlink" xfId="5931" builtinId="9" hidden="1"/>
    <cellStyle name="Followed Hyperlink" xfId="5933" builtinId="9" hidden="1"/>
    <cellStyle name="Followed Hyperlink" xfId="5935" builtinId="9" hidden="1"/>
    <cellStyle name="Followed Hyperlink" xfId="5937" builtinId="9" hidden="1"/>
    <cellStyle name="Followed Hyperlink" xfId="5939" builtinId="9" hidden="1"/>
    <cellStyle name="Followed Hyperlink" xfId="5941" builtinId="9" hidden="1"/>
    <cellStyle name="Followed Hyperlink" xfId="5943" builtinId="9" hidden="1"/>
    <cellStyle name="Followed Hyperlink" xfId="5945" builtinId="9" hidden="1"/>
    <cellStyle name="Followed Hyperlink" xfId="5947" builtinId="9" hidden="1"/>
    <cellStyle name="Followed Hyperlink" xfId="5949" builtinId="9" hidden="1"/>
    <cellStyle name="Followed Hyperlink" xfId="5951" builtinId="9" hidden="1"/>
    <cellStyle name="Followed Hyperlink" xfId="5953" builtinId="9" hidden="1"/>
    <cellStyle name="Followed Hyperlink" xfId="5955" builtinId="9" hidden="1"/>
    <cellStyle name="Followed Hyperlink" xfId="5957" builtinId="9" hidden="1"/>
    <cellStyle name="Followed Hyperlink" xfId="5959" builtinId="9" hidden="1"/>
    <cellStyle name="Followed Hyperlink" xfId="5961" builtinId="9" hidden="1"/>
    <cellStyle name="Followed Hyperlink" xfId="5963" builtinId="9" hidden="1"/>
    <cellStyle name="Followed Hyperlink" xfId="5965" builtinId="9" hidden="1"/>
    <cellStyle name="Followed Hyperlink" xfId="5967" builtinId="9" hidden="1"/>
    <cellStyle name="Followed Hyperlink" xfId="5969" builtinId="9" hidden="1"/>
    <cellStyle name="Followed Hyperlink" xfId="5971" builtinId="9" hidden="1"/>
    <cellStyle name="Followed Hyperlink" xfId="5973" builtinId="9" hidden="1"/>
    <cellStyle name="Followed Hyperlink" xfId="5975" builtinId="9" hidden="1"/>
    <cellStyle name="Followed Hyperlink" xfId="5977" builtinId="9" hidden="1"/>
    <cellStyle name="Followed Hyperlink" xfId="5979" builtinId="9" hidden="1"/>
    <cellStyle name="Followed Hyperlink" xfId="5981" builtinId="9" hidden="1"/>
    <cellStyle name="Followed Hyperlink" xfId="5983" builtinId="9" hidden="1"/>
    <cellStyle name="Followed Hyperlink" xfId="5985" builtinId="9" hidden="1"/>
    <cellStyle name="Followed Hyperlink" xfId="5987" builtinId="9" hidden="1"/>
    <cellStyle name="Followed Hyperlink" xfId="5989" builtinId="9" hidden="1"/>
    <cellStyle name="Followed Hyperlink" xfId="5991" builtinId="9" hidden="1"/>
    <cellStyle name="Followed Hyperlink" xfId="5993" builtinId="9" hidden="1"/>
    <cellStyle name="Followed Hyperlink" xfId="5995" builtinId="9" hidden="1"/>
    <cellStyle name="Followed Hyperlink" xfId="5997" builtinId="9" hidden="1"/>
    <cellStyle name="Followed Hyperlink" xfId="5999" builtinId="9" hidden="1"/>
    <cellStyle name="Followed Hyperlink" xfId="6001" builtinId="9" hidden="1"/>
    <cellStyle name="Followed Hyperlink" xfId="6003" builtinId="9" hidden="1"/>
    <cellStyle name="Followed Hyperlink" xfId="6005" builtinId="9" hidden="1"/>
    <cellStyle name="Followed Hyperlink" xfId="6007" builtinId="9" hidden="1"/>
    <cellStyle name="Followed Hyperlink" xfId="6009" builtinId="9" hidden="1"/>
    <cellStyle name="Followed Hyperlink" xfId="6011" builtinId="9" hidden="1"/>
    <cellStyle name="Followed Hyperlink" xfId="6013" builtinId="9" hidden="1"/>
    <cellStyle name="Followed Hyperlink" xfId="6015" builtinId="9" hidden="1"/>
    <cellStyle name="Followed Hyperlink" xfId="6017" builtinId="9" hidden="1"/>
    <cellStyle name="Followed Hyperlink" xfId="6019" builtinId="9" hidden="1"/>
    <cellStyle name="Followed Hyperlink" xfId="6021" builtinId="9" hidden="1"/>
    <cellStyle name="Followed Hyperlink" xfId="6023" builtinId="9" hidden="1"/>
    <cellStyle name="Followed Hyperlink" xfId="6025" builtinId="9" hidden="1"/>
    <cellStyle name="Followed Hyperlink" xfId="6027" builtinId="9" hidden="1"/>
    <cellStyle name="Followed Hyperlink" xfId="6029" builtinId="9" hidden="1"/>
    <cellStyle name="Followed Hyperlink" xfId="6031" builtinId="9" hidden="1"/>
    <cellStyle name="Followed Hyperlink" xfId="6033" builtinId="9" hidden="1"/>
    <cellStyle name="Followed Hyperlink" xfId="6035" builtinId="9" hidden="1"/>
    <cellStyle name="Followed Hyperlink" xfId="6037" builtinId="9" hidden="1"/>
    <cellStyle name="Followed Hyperlink" xfId="6039" builtinId="9" hidden="1"/>
    <cellStyle name="Followed Hyperlink" xfId="6041" builtinId="9" hidden="1"/>
    <cellStyle name="Followed Hyperlink" xfId="6043" builtinId="9" hidden="1"/>
    <cellStyle name="Followed Hyperlink" xfId="6045" builtinId="9" hidden="1"/>
    <cellStyle name="Followed Hyperlink" xfId="6047" builtinId="9" hidden="1"/>
    <cellStyle name="Followed Hyperlink" xfId="6049" builtinId="9" hidden="1"/>
    <cellStyle name="Followed Hyperlink" xfId="6051" builtinId="9" hidden="1"/>
    <cellStyle name="Followed Hyperlink" xfId="6053" builtinId="9" hidden="1"/>
    <cellStyle name="Followed Hyperlink" xfId="6055" builtinId="9" hidden="1"/>
    <cellStyle name="Followed Hyperlink" xfId="6057" builtinId="9" hidden="1"/>
    <cellStyle name="Followed Hyperlink" xfId="6059" builtinId="9" hidden="1"/>
    <cellStyle name="Followed Hyperlink" xfId="6061" builtinId="9" hidden="1"/>
    <cellStyle name="Followed Hyperlink" xfId="6063" builtinId="9" hidden="1"/>
    <cellStyle name="Followed Hyperlink" xfId="6065" builtinId="9" hidden="1"/>
    <cellStyle name="Followed Hyperlink" xfId="6067" builtinId="9" hidden="1"/>
    <cellStyle name="Followed Hyperlink" xfId="6069" builtinId="9" hidden="1"/>
    <cellStyle name="Followed Hyperlink" xfId="6071" builtinId="9" hidden="1"/>
    <cellStyle name="Followed Hyperlink" xfId="6073" builtinId="9" hidden="1"/>
    <cellStyle name="Followed Hyperlink" xfId="6075" builtinId="9" hidden="1"/>
    <cellStyle name="Followed Hyperlink" xfId="6077" builtinId="9" hidden="1"/>
    <cellStyle name="Followed Hyperlink" xfId="6079" builtinId="9" hidden="1"/>
    <cellStyle name="Followed Hyperlink" xfId="6081" builtinId="9" hidden="1"/>
    <cellStyle name="Followed Hyperlink" xfId="6083" builtinId="9" hidden="1"/>
    <cellStyle name="Followed Hyperlink" xfId="6085" builtinId="9" hidden="1"/>
    <cellStyle name="Followed Hyperlink" xfId="6087" builtinId="9" hidden="1"/>
    <cellStyle name="Followed Hyperlink" xfId="6089" builtinId="9" hidden="1"/>
    <cellStyle name="Followed Hyperlink" xfId="6091" builtinId="9" hidden="1"/>
    <cellStyle name="Followed Hyperlink" xfId="6093" builtinId="9" hidden="1"/>
    <cellStyle name="Followed Hyperlink" xfId="6095" builtinId="9" hidden="1"/>
    <cellStyle name="Followed Hyperlink" xfId="6097" builtinId="9" hidden="1"/>
    <cellStyle name="Followed Hyperlink" xfId="6099" builtinId="9" hidden="1"/>
    <cellStyle name="Followed Hyperlink" xfId="6101" builtinId="9" hidden="1"/>
    <cellStyle name="Followed Hyperlink" xfId="6103" builtinId="9" hidden="1"/>
    <cellStyle name="Followed Hyperlink" xfId="6105" builtinId="9" hidden="1"/>
    <cellStyle name="Followed Hyperlink" xfId="6107" builtinId="9" hidden="1"/>
    <cellStyle name="Followed Hyperlink" xfId="6109" builtinId="9" hidden="1"/>
    <cellStyle name="Followed Hyperlink" xfId="6111" builtinId="9" hidden="1"/>
    <cellStyle name="Followed Hyperlink" xfId="6113" builtinId="9" hidden="1"/>
    <cellStyle name="Followed Hyperlink" xfId="6115" builtinId="9" hidden="1"/>
    <cellStyle name="Followed Hyperlink" xfId="6117" builtinId="9" hidden="1"/>
    <cellStyle name="Followed Hyperlink" xfId="6119" builtinId="9" hidden="1"/>
    <cellStyle name="Followed Hyperlink" xfId="6121" builtinId="9" hidden="1"/>
    <cellStyle name="Followed Hyperlink" xfId="6123" builtinId="9" hidden="1"/>
    <cellStyle name="Followed Hyperlink" xfId="6125" builtinId="9" hidden="1"/>
    <cellStyle name="Followed Hyperlink" xfId="6127" builtinId="9" hidden="1"/>
    <cellStyle name="Followed Hyperlink" xfId="6129" builtinId="9" hidden="1"/>
    <cellStyle name="Followed Hyperlink" xfId="6131" builtinId="9" hidden="1"/>
    <cellStyle name="Followed Hyperlink" xfId="6133" builtinId="9" hidden="1"/>
    <cellStyle name="Followed Hyperlink" xfId="6135" builtinId="9" hidden="1"/>
    <cellStyle name="Followed Hyperlink" xfId="6137" builtinId="9" hidden="1"/>
    <cellStyle name="Followed Hyperlink" xfId="6139" builtinId="9" hidden="1"/>
    <cellStyle name="Followed Hyperlink" xfId="6141" builtinId="9" hidden="1"/>
    <cellStyle name="Followed Hyperlink" xfId="6143" builtinId="9" hidden="1"/>
    <cellStyle name="Followed Hyperlink" xfId="6145" builtinId="9" hidden="1"/>
    <cellStyle name="Followed Hyperlink" xfId="6147" builtinId="9" hidden="1"/>
    <cellStyle name="Followed Hyperlink" xfId="6149" builtinId="9" hidden="1"/>
    <cellStyle name="Followed Hyperlink" xfId="6151" builtinId="9" hidden="1"/>
    <cellStyle name="Followed Hyperlink" xfId="6153" builtinId="9" hidden="1"/>
    <cellStyle name="Followed Hyperlink" xfId="6155" builtinId="9" hidden="1"/>
    <cellStyle name="Followed Hyperlink" xfId="6157" builtinId="9" hidden="1"/>
    <cellStyle name="Followed Hyperlink" xfId="6159" builtinId="9" hidden="1"/>
    <cellStyle name="Followed Hyperlink" xfId="6161" builtinId="9" hidden="1"/>
    <cellStyle name="Followed Hyperlink" xfId="6163" builtinId="9" hidden="1"/>
    <cellStyle name="Followed Hyperlink" xfId="6165" builtinId="9" hidden="1"/>
    <cellStyle name="Followed Hyperlink" xfId="6167" builtinId="9" hidden="1"/>
    <cellStyle name="Followed Hyperlink" xfId="6169" builtinId="9" hidden="1"/>
    <cellStyle name="Followed Hyperlink" xfId="6171" builtinId="9" hidden="1"/>
    <cellStyle name="Followed Hyperlink" xfId="6173" builtinId="9" hidden="1"/>
    <cellStyle name="Followed Hyperlink" xfId="6175" builtinId="9" hidden="1"/>
    <cellStyle name="Followed Hyperlink" xfId="6177" builtinId="9" hidden="1"/>
    <cellStyle name="Followed Hyperlink" xfId="6179" builtinId="9" hidden="1"/>
    <cellStyle name="Followed Hyperlink" xfId="6181" builtinId="9" hidden="1"/>
    <cellStyle name="Followed Hyperlink" xfId="6183" builtinId="9" hidden="1"/>
    <cellStyle name="Followed Hyperlink" xfId="6185" builtinId="9" hidden="1"/>
    <cellStyle name="Followed Hyperlink" xfId="6187" builtinId="9" hidden="1"/>
    <cellStyle name="Followed Hyperlink" xfId="6189" builtinId="9" hidden="1"/>
    <cellStyle name="Followed Hyperlink" xfId="6191" builtinId="9" hidden="1"/>
    <cellStyle name="Followed Hyperlink" xfId="6193" builtinId="9" hidden="1"/>
    <cellStyle name="Followed Hyperlink" xfId="6195" builtinId="9" hidden="1"/>
    <cellStyle name="Followed Hyperlink" xfId="6197" builtinId="9" hidden="1"/>
    <cellStyle name="Followed Hyperlink" xfId="6199" builtinId="9" hidden="1"/>
    <cellStyle name="Followed Hyperlink" xfId="6201" builtinId="9" hidden="1"/>
    <cellStyle name="Followed Hyperlink" xfId="6203" builtinId="9" hidden="1"/>
    <cellStyle name="Followed Hyperlink" xfId="6205" builtinId="9" hidden="1"/>
    <cellStyle name="Followed Hyperlink" xfId="6207" builtinId="9" hidden="1"/>
    <cellStyle name="Followed Hyperlink" xfId="6209" builtinId="9" hidden="1"/>
    <cellStyle name="Followed Hyperlink" xfId="6211" builtinId="9" hidden="1"/>
    <cellStyle name="Followed Hyperlink" xfId="6213" builtinId="9" hidden="1"/>
    <cellStyle name="Followed Hyperlink" xfId="6215" builtinId="9" hidden="1"/>
    <cellStyle name="Followed Hyperlink" xfId="6217" builtinId="9" hidden="1"/>
    <cellStyle name="Followed Hyperlink" xfId="6219" builtinId="9" hidden="1"/>
    <cellStyle name="Followed Hyperlink" xfId="6221" builtinId="9" hidden="1"/>
    <cellStyle name="Followed Hyperlink" xfId="6223" builtinId="9" hidden="1"/>
    <cellStyle name="Followed Hyperlink" xfId="6225" builtinId="9" hidden="1"/>
    <cellStyle name="Followed Hyperlink" xfId="6227" builtinId="9" hidden="1"/>
    <cellStyle name="Followed Hyperlink" xfId="6229" builtinId="9" hidden="1"/>
    <cellStyle name="Followed Hyperlink" xfId="6231" builtinId="9" hidden="1"/>
    <cellStyle name="Followed Hyperlink" xfId="6233" builtinId="9" hidden="1"/>
    <cellStyle name="Followed Hyperlink" xfId="6235" builtinId="9" hidden="1"/>
    <cellStyle name="Followed Hyperlink" xfId="6237" builtinId="9" hidden="1"/>
    <cellStyle name="Followed Hyperlink" xfId="6239" builtinId="9" hidden="1"/>
    <cellStyle name="Followed Hyperlink" xfId="6241" builtinId="9" hidden="1"/>
    <cellStyle name="Followed Hyperlink" xfId="6243" builtinId="9" hidden="1"/>
    <cellStyle name="Followed Hyperlink" xfId="6245" builtinId="9" hidden="1"/>
    <cellStyle name="Followed Hyperlink" xfId="6247" builtinId="9" hidden="1"/>
    <cellStyle name="Followed Hyperlink" xfId="6249" builtinId="9" hidden="1"/>
    <cellStyle name="Followed Hyperlink" xfId="6251" builtinId="9" hidden="1"/>
    <cellStyle name="Followed Hyperlink" xfId="6253" builtinId="9" hidden="1"/>
    <cellStyle name="Followed Hyperlink" xfId="6255" builtinId="9" hidden="1"/>
    <cellStyle name="Followed Hyperlink" xfId="6257" builtinId="9" hidden="1"/>
    <cellStyle name="Followed Hyperlink" xfId="6259" builtinId="9" hidden="1"/>
    <cellStyle name="Followed Hyperlink" xfId="6261" builtinId="9" hidden="1"/>
    <cellStyle name="Followed Hyperlink" xfId="6263" builtinId="9" hidden="1"/>
    <cellStyle name="Followed Hyperlink" xfId="6265" builtinId="9" hidden="1"/>
    <cellStyle name="Followed Hyperlink" xfId="6267" builtinId="9" hidden="1"/>
    <cellStyle name="Followed Hyperlink" xfId="6269" builtinId="9" hidden="1"/>
    <cellStyle name="Followed Hyperlink" xfId="6271" builtinId="9" hidden="1"/>
    <cellStyle name="Followed Hyperlink" xfId="6273" builtinId="9" hidden="1"/>
    <cellStyle name="Followed Hyperlink" xfId="6275" builtinId="9" hidden="1"/>
    <cellStyle name="Followed Hyperlink" xfId="6277" builtinId="9" hidden="1"/>
    <cellStyle name="Followed Hyperlink" xfId="6279" builtinId="9" hidden="1"/>
    <cellStyle name="Followed Hyperlink" xfId="6281" builtinId="9" hidden="1"/>
    <cellStyle name="Followed Hyperlink" xfId="6283" builtinId="9" hidden="1"/>
    <cellStyle name="Followed Hyperlink" xfId="6285" builtinId="9" hidden="1"/>
    <cellStyle name="Followed Hyperlink" xfId="6287" builtinId="9" hidden="1"/>
    <cellStyle name="Followed Hyperlink" xfId="6289" builtinId="9" hidden="1"/>
    <cellStyle name="Followed Hyperlink" xfId="6291" builtinId="9" hidden="1"/>
    <cellStyle name="Followed Hyperlink" xfId="6293" builtinId="9" hidden="1"/>
    <cellStyle name="Followed Hyperlink" xfId="6295" builtinId="9" hidden="1"/>
    <cellStyle name="Followed Hyperlink" xfId="6297" builtinId="9" hidden="1"/>
    <cellStyle name="Followed Hyperlink" xfId="6299" builtinId="9" hidden="1"/>
    <cellStyle name="Followed Hyperlink" xfId="6301" builtinId="9" hidden="1"/>
    <cellStyle name="Followed Hyperlink" xfId="6303" builtinId="9" hidden="1"/>
    <cellStyle name="Followed Hyperlink" xfId="6305" builtinId="9" hidden="1"/>
    <cellStyle name="Followed Hyperlink" xfId="6307" builtinId="9" hidden="1"/>
    <cellStyle name="Followed Hyperlink" xfId="6309" builtinId="9" hidden="1"/>
    <cellStyle name="Followed Hyperlink" xfId="6311" builtinId="9" hidden="1"/>
    <cellStyle name="Followed Hyperlink" xfId="6313" builtinId="9" hidden="1"/>
    <cellStyle name="Followed Hyperlink" xfId="6315" builtinId="9" hidden="1"/>
    <cellStyle name="Followed Hyperlink" xfId="6317" builtinId="9" hidden="1"/>
    <cellStyle name="Followed Hyperlink" xfId="6319" builtinId="9" hidden="1"/>
    <cellStyle name="Followed Hyperlink" xfId="6321" builtinId="9" hidden="1"/>
    <cellStyle name="Followed Hyperlink" xfId="6323" builtinId="9" hidden="1"/>
    <cellStyle name="Followed Hyperlink" xfId="6325" builtinId="9" hidden="1"/>
    <cellStyle name="Followed Hyperlink" xfId="6327" builtinId="9" hidden="1"/>
    <cellStyle name="Followed Hyperlink" xfId="6329" builtinId="9" hidden="1"/>
    <cellStyle name="Followed Hyperlink" xfId="6331" builtinId="9" hidden="1"/>
    <cellStyle name="Followed Hyperlink" xfId="6333" builtinId="9" hidden="1"/>
    <cellStyle name="Followed Hyperlink" xfId="6335" builtinId="9" hidden="1"/>
    <cellStyle name="Followed Hyperlink" xfId="6337" builtinId="9" hidden="1"/>
    <cellStyle name="Followed Hyperlink" xfId="6339" builtinId="9" hidden="1"/>
    <cellStyle name="Followed Hyperlink" xfId="6341" builtinId="9" hidden="1"/>
    <cellStyle name="Followed Hyperlink" xfId="6343" builtinId="9" hidden="1"/>
    <cellStyle name="Followed Hyperlink" xfId="6345" builtinId="9" hidden="1"/>
    <cellStyle name="Followed Hyperlink" xfId="6347" builtinId="9" hidden="1"/>
    <cellStyle name="Followed Hyperlink" xfId="6349" builtinId="9" hidden="1"/>
    <cellStyle name="Followed Hyperlink" xfId="6351" builtinId="9" hidden="1"/>
    <cellStyle name="Followed Hyperlink" xfId="6353" builtinId="9" hidden="1"/>
    <cellStyle name="Followed Hyperlink" xfId="6355" builtinId="9" hidden="1"/>
    <cellStyle name="Followed Hyperlink" xfId="6357" builtinId="9" hidden="1"/>
    <cellStyle name="Followed Hyperlink" xfId="6359" builtinId="9" hidden="1"/>
    <cellStyle name="Followed Hyperlink" xfId="6361" builtinId="9" hidden="1"/>
    <cellStyle name="Followed Hyperlink" xfId="6363" builtinId="9" hidden="1"/>
    <cellStyle name="Followed Hyperlink" xfId="6365" builtinId="9" hidden="1"/>
    <cellStyle name="Followed Hyperlink" xfId="6367" builtinId="9" hidden="1"/>
    <cellStyle name="Followed Hyperlink" xfId="6369" builtinId="9" hidden="1"/>
    <cellStyle name="Followed Hyperlink" xfId="6371" builtinId="9" hidden="1"/>
    <cellStyle name="Followed Hyperlink" xfId="6373" builtinId="9" hidden="1"/>
    <cellStyle name="Followed Hyperlink" xfId="6375" builtinId="9" hidden="1"/>
    <cellStyle name="Followed Hyperlink" xfId="6377" builtinId="9" hidden="1"/>
    <cellStyle name="Followed Hyperlink" xfId="6379" builtinId="9" hidden="1"/>
    <cellStyle name="Followed Hyperlink" xfId="6381" builtinId="9" hidden="1"/>
    <cellStyle name="Followed Hyperlink" xfId="6383" builtinId="9" hidden="1"/>
    <cellStyle name="Followed Hyperlink" xfId="6385" builtinId="9" hidden="1"/>
    <cellStyle name="Followed Hyperlink" xfId="6387" builtinId="9" hidden="1"/>
    <cellStyle name="Followed Hyperlink" xfId="6389" builtinId="9" hidden="1"/>
    <cellStyle name="Followed Hyperlink" xfId="6391" builtinId="9" hidden="1"/>
    <cellStyle name="Followed Hyperlink" xfId="6393" builtinId="9" hidden="1"/>
    <cellStyle name="Followed Hyperlink" xfId="6395" builtinId="9" hidden="1"/>
    <cellStyle name="Followed Hyperlink" xfId="6397" builtinId="9" hidden="1"/>
    <cellStyle name="Followed Hyperlink" xfId="6399" builtinId="9" hidden="1"/>
    <cellStyle name="Followed Hyperlink" xfId="6401" builtinId="9" hidden="1"/>
    <cellStyle name="Followed Hyperlink" xfId="6403" builtinId="9" hidden="1"/>
    <cellStyle name="Followed Hyperlink" xfId="6405" builtinId="9" hidden="1"/>
    <cellStyle name="Followed Hyperlink" xfId="6407" builtinId="9" hidden="1"/>
    <cellStyle name="Followed Hyperlink" xfId="6409" builtinId="9" hidden="1"/>
    <cellStyle name="Followed Hyperlink" xfId="6411" builtinId="9" hidden="1"/>
    <cellStyle name="Followed Hyperlink" xfId="6413" builtinId="9" hidden="1"/>
    <cellStyle name="Followed Hyperlink" xfId="6415" builtinId="9" hidden="1"/>
    <cellStyle name="Followed Hyperlink" xfId="6417" builtinId="9" hidden="1"/>
    <cellStyle name="Followed Hyperlink" xfId="6419" builtinId="9" hidden="1"/>
    <cellStyle name="Followed Hyperlink" xfId="6421" builtinId="9" hidden="1"/>
    <cellStyle name="Followed Hyperlink" xfId="6423" builtinId="9" hidden="1"/>
    <cellStyle name="Followed Hyperlink" xfId="6425" builtinId="9" hidden="1"/>
    <cellStyle name="Followed Hyperlink" xfId="6427" builtinId="9" hidden="1"/>
    <cellStyle name="Followed Hyperlink" xfId="6429" builtinId="9" hidden="1"/>
    <cellStyle name="Followed Hyperlink" xfId="6431" builtinId="9" hidden="1"/>
    <cellStyle name="Followed Hyperlink" xfId="6433" builtinId="9" hidden="1"/>
    <cellStyle name="Followed Hyperlink" xfId="6435" builtinId="9" hidden="1"/>
    <cellStyle name="Followed Hyperlink" xfId="6437" builtinId="9" hidden="1"/>
    <cellStyle name="Followed Hyperlink" xfId="6439" builtinId="9" hidden="1"/>
    <cellStyle name="Followed Hyperlink" xfId="6441" builtinId="9" hidden="1"/>
    <cellStyle name="Followed Hyperlink" xfId="6443" builtinId="9" hidden="1"/>
    <cellStyle name="Followed Hyperlink" xfId="6445" builtinId="9" hidden="1"/>
    <cellStyle name="Followed Hyperlink" xfId="6447" builtinId="9" hidden="1"/>
    <cellStyle name="Followed Hyperlink" xfId="6449" builtinId="9" hidden="1"/>
    <cellStyle name="Followed Hyperlink" xfId="6451" builtinId="9" hidden="1"/>
    <cellStyle name="Followed Hyperlink" xfId="6453" builtinId="9" hidden="1"/>
    <cellStyle name="Followed Hyperlink" xfId="6455" builtinId="9" hidden="1"/>
    <cellStyle name="Followed Hyperlink" xfId="6457" builtinId="9" hidden="1"/>
    <cellStyle name="Followed Hyperlink" xfId="6459" builtinId="9" hidden="1"/>
    <cellStyle name="Followed Hyperlink" xfId="6461" builtinId="9" hidden="1"/>
    <cellStyle name="Followed Hyperlink" xfId="6463" builtinId="9" hidden="1"/>
    <cellStyle name="Followed Hyperlink" xfId="6465" builtinId="9" hidden="1"/>
    <cellStyle name="Followed Hyperlink" xfId="6467" builtinId="9" hidden="1"/>
    <cellStyle name="Followed Hyperlink" xfId="6469" builtinId="9" hidden="1"/>
    <cellStyle name="Followed Hyperlink" xfId="6471" builtinId="9" hidden="1"/>
    <cellStyle name="Followed Hyperlink" xfId="6473" builtinId="9" hidden="1"/>
    <cellStyle name="Followed Hyperlink" xfId="6475" builtinId="9" hidden="1"/>
    <cellStyle name="Followed Hyperlink" xfId="6477" builtinId="9" hidden="1"/>
    <cellStyle name="Followed Hyperlink" xfId="6479" builtinId="9" hidden="1"/>
    <cellStyle name="Followed Hyperlink" xfId="6481" builtinId="9" hidden="1"/>
    <cellStyle name="Followed Hyperlink" xfId="6483" builtinId="9" hidden="1"/>
    <cellStyle name="Followed Hyperlink" xfId="6485" builtinId="9" hidden="1"/>
    <cellStyle name="Followed Hyperlink" xfId="6487" builtinId="9" hidden="1"/>
    <cellStyle name="Followed Hyperlink" xfId="6489" builtinId="9" hidden="1"/>
    <cellStyle name="Followed Hyperlink" xfId="6491" builtinId="9" hidden="1"/>
    <cellStyle name="Followed Hyperlink" xfId="6493" builtinId="9" hidden="1"/>
    <cellStyle name="Followed Hyperlink" xfId="6495" builtinId="9" hidden="1"/>
    <cellStyle name="Followed Hyperlink" xfId="6497" builtinId="9" hidden="1"/>
    <cellStyle name="Followed Hyperlink" xfId="6499" builtinId="9" hidden="1"/>
    <cellStyle name="Followed Hyperlink" xfId="6501" builtinId="9" hidden="1"/>
    <cellStyle name="Followed Hyperlink" xfId="6503" builtinId="9" hidden="1"/>
    <cellStyle name="Followed Hyperlink" xfId="6505" builtinId="9" hidden="1"/>
    <cellStyle name="Followed Hyperlink" xfId="6507" builtinId="9" hidden="1"/>
    <cellStyle name="Followed Hyperlink" xfId="6509" builtinId="9" hidden="1"/>
    <cellStyle name="Followed Hyperlink" xfId="6511" builtinId="9" hidden="1"/>
    <cellStyle name="Followed Hyperlink" xfId="6513" builtinId="9" hidden="1"/>
    <cellStyle name="Followed Hyperlink" xfId="6515" builtinId="9" hidden="1"/>
    <cellStyle name="Followed Hyperlink" xfId="6517" builtinId="9" hidden="1"/>
    <cellStyle name="Followed Hyperlink" xfId="6519" builtinId="9" hidden="1"/>
    <cellStyle name="Followed Hyperlink" xfId="6521" builtinId="9" hidden="1"/>
    <cellStyle name="Followed Hyperlink" xfId="6523" builtinId="9" hidden="1"/>
    <cellStyle name="Followed Hyperlink" xfId="6525" builtinId="9" hidden="1"/>
    <cellStyle name="Followed Hyperlink" xfId="6527" builtinId="9" hidden="1"/>
    <cellStyle name="Followed Hyperlink" xfId="6529" builtinId="9" hidden="1"/>
    <cellStyle name="Followed Hyperlink" xfId="6531" builtinId="9" hidden="1"/>
    <cellStyle name="Followed Hyperlink" xfId="6533" builtinId="9" hidden="1"/>
    <cellStyle name="Followed Hyperlink" xfId="6535" builtinId="9" hidden="1"/>
    <cellStyle name="Followed Hyperlink" xfId="6537" builtinId="9" hidden="1"/>
    <cellStyle name="Followed Hyperlink" xfId="6539" builtinId="9" hidden="1"/>
    <cellStyle name="Followed Hyperlink" xfId="6541" builtinId="9" hidden="1"/>
    <cellStyle name="Followed Hyperlink" xfId="6543" builtinId="9" hidden="1"/>
    <cellStyle name="Followed Hyperlink" xfId="6545" builtinId="9" hidden="1"/>
    <cellStyle name="Followed Hyperlink" xfId="6547" builtinId="9" hidden="1"/>
    <cellStyle name="Followed Hyperlink" xfId="6549" builtinId="9" hidden="1"/>
    <cellStyle name="Followed Hyperlink" xfId="6551" builtinId="9" hidden="1"/>
    <cellStyle name="Followed Hyperlink" xfId="6553" builtinId="9" hidde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Hyperlink" xfId="3654" builtinId="8" hidden="1"/>
    <cellStyle name="Hyperlink" xfId="3656" builtinId="8" hidden="1"/>
    <cellStyle name="Hyperlink" xfId="3658" builtinId="8" hidden="1"/>
    <cellStyle name="Hyperlink" xfId="3660" builtinId="8" hidden="1"/>
    <cellStyle name="Hyperlink" xfId="3662" builtinId="8" hidden="1"/>
    <cellStyle name="Hyperlink" xfId="3664" builtinId="8" hidden="1"/>
    <cellStyle name="Hyperlink" xfId="3666" builtinId="8" hidden="1"/>
    <cellStyle name="Hyperlink" xfId="3668" builtinId="8" hidden="1"/>
    <cellStyle name="Hyperlink" xfId="3670" builtinId="8" hidden="1"/>
    <cellStyle name="Hyperlink" xfId="3672" builtinId="8" hidden="1"/>
    <cellStyle name="Hyperlink" xfId="3674" builtinId="8" hidden="1"/>
    <cellStyle name="Hyperlink" xfId="3676" builtinId="8" hidden="1"/>
    <cellStyle name="Hyperlink" xfId="3678" builtinId="8" hidden="1"/>
    <cellStyle name="Hyperlink" xfId="3680" builtinId="8" hidden="1"/>
    <cellStyle name="Hyperlink" xfId="3682" builtinId="8" hidden="1"/>
    <cellStyle name="Hyperlink" xfId="3684" builtinId="8" hidden="1"/>
    <cellStyle name="Hyperlink" xfId="3686" builtinId="8" hidden="1"/>
    <cellStyle name="Hyperlink" xfId="3688" builtinId="8" hidden="1"/>
    <cellStyle name="Hyperlink" xfId="3690" builtinId="8" hidden="1"/>
    <cellStyle name="Hyperlink" xfId="3692" builtinId="8" hidden="1"/>
    <cellStyle name="Hyperlink" xfId="3694" builtinId="8" hidden="1"/>
    <cellStyle name="Hyperlink" xfId="3696" builtinId="8" hidden="1"/>
    <cellStyle name="Hyperlink" xfId="3698" builtinId="8" hidden="1"/>
    <cellStyle name="Hyperlink" xfId="3700" builtinId="8" hidden="1"/>
    <cellStyle name="Hyperlink" xfId="3702" builtinId="8" hidden="1"/>
    <cellStyle name="Hyperlink" xfId="3704" builtinId="8" hidden="1"/>
    <cellStyle name="Hyperlink" xfId="3706" builtinId="8" hidden="1"/>
    <cellStyle name="Hyperlink" xfId="3708" builtinId="8" hidden="1"/>
    <cellStyle name="Hyperlink" xfId="3710" builtinId="8" hidden="1"/>
    <cellStyle name="Hyperlink" xfId="3712" builtinId="8" hidden="1"/>
    <cellStyle name="Hyperlink" xfId="3714" builtinId="8" hidden="1"/>
    <cellStyle name="Hyperlink" xfId="3716" builtinId="8" hidden="1"/>
    <cellStyle name="Hyperlink" xfId="3718" builtinId="8" hidden="1"/>
    <cellStyle name="Hyperlink" xfId="3720" builtinId="8" hidden="1"/>
    <cellStyle name="Hyperlink" xfId="3722" builtinId="8" hidden="1"/>
    <cellStyle name="Hyperlink" xfId="3724" builtinId="8" hidden="1"/>
    <cellStyle name="Hyperlink" xfId="3726" builtinId="8" hidden="1"/>
    <cellStyle name="Hyperlink" xfId="3728" builtinId="8" hidden="1"/>
    <cellStyle name="Hyperlink" xfId="3730" builtinId="8" hidden="1"/>
    <cellStyle name="Hyperlink" xfId="3732" builtinId="8" hidden="1"/>
    <cellStyle name="Hyperlink" xfId="3734" builtinId="8" hidden="1"/>
    <cellStyle name="Hyperlink" xfId="3736" builtinId="8" hidden="1"/>
    <cellStyle name="Hyperlink" xfId="3738" builtinId="8" hidden="1"/>
    <cellStyle name="Hyperlink" xfId="3740" builtinId="8" hidden="1"/>
    <cellStyle name="Hyperlink" xfId="3742" builtinId="8" hidden="1"/>
    <cellStyle name="Hyperlink" xfId="3744" builtinId="8" hidden="1"/>
    <cellStyle name="Hyperlink" xfId="3746" builtinId="8" hidden="1"/>
    <cellStyle name="Hyperlink" xfId="3748" builtinId="8" hidden="1"/>
    <cellStyle name="Hyperlink" xfId="3750" builtinId="8" hidden="1"/>
    <cellStyle name="Hyperlink" xfId="3752" builtinId="8" hidden="1"/>
    <cellStyle name="Hyperlink" xfId="3754" builtinId="8" hidden="1"/>
    <cellStyle name="Hyperlink" xfId="3756" builtinId="8" hidden="1"/>
    <cellStyle name="Hyperlink" xfId="3758" builtinId="8" hidden="1"/>
    <cellStyle name="Hyperlink" xfId="3760" builtinId="8" hidden="1"/>
    <cellStyle name="Hyperlink" xfId="3762" builtinId="8" hidden="1"/>
    <cellStyle name="Hyperlink" xfId="3764" builtinId="8" hidden="1"/>
    <cellStyle name="Hyperlink" xfId="3766" builtinId="8" hidden="1"/>
    <cellStyle name="Hyperlink" xfId="3768" builtinId="8" hidden="1"/>
    <cellStyle name="Hyperlink" xfId="3770" builtinId="8" hidden="1"/>
    <cellStyle name="Hyperlink" xfId="3772" builtinId="8" hidden="1"/>
    <cellStyle name="Hyperlink" xfId="3774" builtinId="8" hidden="1"/>
    <cellStyle name="Hyperlink" xfId="3776" builtinId="8" hidden="1"/>
    <cellStyle name="Hyperlink" xfId="3778" builtinId="8" hidden="1"/>
    <cellStyle name="Hyperlink" xfId="3780" builtinId="8" hidden="1"/>
    <cellStyle name="Hyperlink" xfId="3782" builtinId="8" hidden="1"/>
    <cellStyle name="Hyperlink" xfId="3784" builtinId="8" hidden="1"/>
    <cellStyle name="Hyperlink" xfId="3786" builtinId="8" hidden="1"/>
    <cellStyle name="Hyperlink" xfId="3788" builtinId="8" hidden="1"/>
    <cellStyle name="Hyperlink" xfId="3790" builtinId="8" hidden="1"/>
    <cellStyle name="Hyperlink" xfId="3792" builtinId="8" hidden="1"/>
    <cellStyle name="Hyperlink" xfId="3794" builtinId="8" hidden="1"/>
    <cellStyle name="Hyperlink" xfId="3796" builtinId="8" hidden="1"/>
    <cellStyle name="Hyperlink" xfId="3798" builtinId="8" hidden="1"/>
    <cellStyle name="Hyperlink" xfId="3800" builtinId="8" hidden="1"/>
    <cellStyle name="Hyperlink" xfId="3802" builtinId="8" hidden="1"/>
    <cellStyle name="Hyperlink" xfId="3804" builtinId="8" hidden="1"/>
    <cellStyle name="Hyperlink" xfId="3806" builtinId="8" hidden="1"/>
    <cellStyle name="Hyperlink" xfId="3808" builtinId="8" hidden="1"/>
    <cellStyle name="Hyperlink" xfId="3810" builtinId="8" hidden="1"/>
    <cellStyle name="Hyperlink" xfId="3812" builtinId="8" hidden="1"/>
    <cellStyle name="Hyperlink" xfId="3814" builtinId="8" hidden="1"/>
    <cellStyle name="Hyperlink" xfId="3816" builtinId="8" hidden="1"/>
    <cellStyle name="Hyperlink" xfId="3818" builtinId="8" hidden="1"/>
    <cellStyle name="Hyperlink" xfId="3820" builtinId="8" hidden="1"/>
    <cellStyle name="Hyperlink" xfId="3822" builtinId="8" hidden="1"/>
    <cellStyle name="Hyperlink" xfId="3824" builtinId="8" hidden="1"/>
    <cellStyle name="Hyperlink" xfId="3826" builtinId="8" hidden="1"/>
    <cellStyle name="Hyperlink" xfId="3828" builtinId="8" hidden="1"/>
    <cellStyle name="Hyperlink" xfId="3830" builtinId="8" hidden="1"/>
    <cellStyle name="Hyperlink" xfId="3832" builtinId="8" hidden="1"/>
    <cellStyle name="Hyperlink" xfId="3834" builtinId="8" hidden="1"/>
    <cellStyle name="Hyperlink" xfId="3836" builtinId="8" hidden="1"/>
    <cellStyle name="Hyperlink" xfId="3838" builtinId="8" hidden="1"/>
    <cellStyle name="Hyperlink" xfId="3840" builtinId="8" hidden="1"/>
    <cellStyle name="Hyperlink" xfId="3842" builtinId="8" hidden="1"/>
    <cellStyle name="Hyperlink" xfId="3844" builtinId="8" hidden="1"/>
    <cellStyle name="Hyperlink" xfId="3846" builtinId="8" hidden="1"/>
    <cellStyle name="Hyperlink" xfId="3848" builtinId="8" hidden="1"/>
    <cellStyle name="Hyperlink" xfId="3850" builtinId="8" hidden="1"/>
    <cellStyle name="Hyperlink" xfId="3852" builtinId="8" hidden="1"/>
    <cellStyle name="Hyperlink" xfId="3854" builtinId="8" hidden="1"/>
    <cellStyle name="Hyperlink" xfId="3856" builtinId="8" hidden="1"/>
    <cellStyle name="Hyperlink" xfId="3858" builtinId="8" hidden="1"/>
    <cellStyle name="Hyperlink" xfId="3860" builtinId="8" hidden="1"/>
    <cellStyle name="Hyperlink" xfId="3862" builtinId="8" hidden="1"/>
    <cellStyle name="Hyperlink" xfId="3864" builtinId="8" hidden="1"/>
    <cellStyle name="Hyperlink" xfId="3866" builtinId="8" hidden="1"/>
    <cellStyle name="Hyperlink" xfId="3868" builtinId="8" hidden="1"/>
    <cellStyle name="Hyperlink" xfId="3870" builtinId="8" hidden="1"/>
    <cellStyle name="Hyperlink" xfId="3872" builtinId="8" hidden="1"/>
    <cellStyle name="Hyperlink" xfId="3874" builtinId="8" hidden="1"/>
    <cellStyle name="Hyperlink" xfId="3876" builtinId="8" hidden="1"/>
    <cellStyle name="Hyperlink" xfId="3878" builtinId="8" hidden="1"/>
    <cellStyle name="Hyperlink" xfId="3880" builtinId="8" hidden="1"/>
    <cellStyle name="Hyperlink" xfId="3882" builtinId="8" hidden="1"/>
    <cellStyle name="Hyperlink" xfId="3884" builtinId="8" hidden="1"/>
    <cellStyle name="Hyperlink" xfId="3886" builtinId="8" hidden="1"/>
    <cellStyle name="Hyperlink" xfId="3888" builtinId="8" hidden="1"/>
    <cellStyle name="Hyperlink" xfId="3890" builtinId="8" hidden="1"/>
    <cellStyle name="Hyperlink" xfId="3892" builtinId="8" hidden="1"/>
    <cellStyle name="Hyperlink" xfId="3894" builtinId="8" hidden="1"/>
    <cellStyle name="Hyperlink" xfId="3896" builtinId="8" hidden="1"/>
    <cellStyle name="Hyperlink" xfId="3898" builtinId="8" hidden="1"/>
    <cellStyle name="Hyperlink" xfId="3900" builtinId="8" hidden="1"/>
    <cellStyle name="Hyperlink" xfId="3902" builtinId="8" hidden="1"/>
    <cellStyle name="Hyperlink" xfId="3904" builtinId="8" hidden="1"/>
    <cellStyle name="Hyperlink" xfId="3906" builtinId="8" hidden="1"/>
    <cellStyle name="Hyperlink" xfId="3908" builtinId="8" hidden="1"/>
    <cellStyle name="Hyperlink" xfId="3910" builtinId="8" hidden="1"/>
    <cellStyle name="Hyperlink" xfId="3912" builtinId="8" hidden="1"/>
    <cellStyle name="Hyperlink" xfId="3914" builtinId="8" hidden="1"/>
    <cellStyle name="Hyperlink" xfId="3916" builtinId="8" hidden="1"/>
    <cellStyle name="Hyperlink" xfId="3918" builtinId="8" hidden="1"/>
    <cellStyle name="Hyperlink" xfId="3920" builtinId="8" hidden="1"/>
    <cellStyle name="Hyperlink" xfId="3922" builtinId="8" hidden="1"/>
    <cellStyle name="Hyperlink" xfId="3924" builtinId="8" hidden="1"/>
    <cellStyle name="Hyperlink" xfId="3926" builtinId="8" hidden="1"/>
    <cellStyle name="Hyperlink" xfId="3928" builtinId="8" hidden="1"/>
    <cellStyle name="Hyperlink" xfId="3930" builtinId="8" hidden="1"/>
    <cellStyle name="Hyperlink" xfId="3932" builtinId="8" hidden="1"/>
    <cellStyle name="Hyperlink" xfId="3934" builtinId="8" hidden="1"/>
    <cellStyle name="Hyperlink" xfId="3936" builtinId="8" hidden="1"/>
    <cellStyle name="Hyperlink" xfId="3938" builtinId="8" hidden="1"/>
    <cellStyle name="Hyperlink" xfId="3940" builtinId="8" hidden="1"/>
    <cellStyle name="Hyperlink" xfId="3942" builtinId="8" hidden="1"/>
    <cellStyle name="Hyperlink" xfId="3944" builtinId="8" hidden="1"/>
    <cellStyle name="Hyperlink" xfId="3946" builtinId="8" hidden="1"/>
    <cellStyle name="Hyperlink" xfId="3948" builtinId="8" hidden="1"/>
    <cellStyle name="Hyperlink" xfId="3950" builtinId="8" hidden="1"/>
    <cellStyle name="Hyperlink" xfId="3952" builtinId="8" hidden="1"/>
    <cellStyle name="Hyperlink" xfId="3954" builtinId="8" hidden="1"/>
    <cellStyle name="Hyperlink" xfId="3956" builtinId="8" hidden="1"/>
    <cellStyle name="Hyperlink" xfId="3958" builtinId="8" hidden="1"/>
    <cellStyle name="Hyperlink" xfId="3960" builtinId="8" hidden="1"/>
    <cellStyle name="Hyperlink" xfId="3962" builtinId="8" hidden="1"/>
    <cellStyle name="Hyperlink" xfId="3964" builtinId="8" hidden="1"/>
    <cellStyle name="Hyperlink" xfId="3966" builtinId="8" hidden="1"/>
    <cellStyle name="Hyperlink" xfId="3968" builtinId="8" hidden="1"/>
    <cellStyle name="Hyperlink" xfId="3970" builtinId="8" hidden="1"/>
    <cellStyle name="Hyperlink" xfId="3972" builtinId="8" hidden="1"/>
    <cellStyle name="Hyperlink" xfId="3974" builtinId="8" hidden="1"/>
    <cellStyle name="Hyperlink" xfId="3976" builtinId="8" hidden="1"/>
    <cellStyle name="Hyperlink" xfId="3978" builtinId="8" hidden="1"/>
    <cellStyle name="Hyperlink" xfId="3980" builtinId="8" hidden="1"/>
    <cellStyle name="Hyperlink" xfId="3982" builtinId="8" hidden="1"/>
    <cellStyle name="Hyperlink" xfId="3984" builtinId="8" hidden="1"/>
    <cellStyle name="Hyperlink" xfId="3986" builtinId="8" hidden="1"/>
    <cellStyle name="Hyperlink" xfId="3988" builtinId="8" hidden="1"/>
    <cellStyle name="Hyperlink" xfId="3990" builtinId="8" hidden="1"/>
    <cellStyle name="Hyperlink" xfId="3992" builtinId="8" hidden="1"/>
    <cellStyle name="Hyperlink" xfId="3994" builtinId="8" hidden="1"/>
    <cellStyle name="Hyperlink" xfId="3996" builtinId="8" hidden="1"/>
    <cellStyle name="Hyperlink" xfId="3998" builtinId="8" hidden="1"/>
    <cellStyle name="Hyperlink" xfId="4000" builtinId="8" hidden="1"/>
    <cellStyle name="Hyperlink" xfId="4002" builtinId="8" hidden="1"/>
    <cellStyle name="Hyperlink" xfId="4004" builtinId="8" hidden="1"/>
    <cellStyle name="Hyperlink" xfId="4006" builtinId="8" hidden="1"/>
    <cellStyle name="Hyperlink" xfId="4008" builtinId="8" hidden="1"/>
    <cellStyle name="Hyperlink" xfId="4010" builtinId="8" hidden="1"/>
    <cellStyle name="Hyperlink" xfId="4012" builtinId="8" hidden="1"/>
    <cellStyle name="Hyperlink" xfId="4014" builtinId="8" hidden="1"/>
    <cellStyle name="Hyperlink" xfId="4016" builtinId="8" hidden="1"/>
    <cellStyle name="Hyperlink" xfId="4018" builtinId="8" hidden="1"/>
    <cellStyle name="Hyperlink" xfId="4020" builtinId="8" hidden="1"/>
    <cellStyle name="Hyperlink" xfId="4022" builtinId="8" hidden="1"/>
    <cellStyle name="Hyperlink" xfId="4024" builtinId="8" hidden="1"/>
    <cellStyle name="Hyperlink" xfId="4026" builtinId="8" hidden="1"/>
    <cellStyle name="Hyperlink" xfId="4028" builtinId="8" hidden="1"/>
    <cellStyle name="Hyperlink" xfId="4030" builtinId="8" hidden="1"/>
    <cellStyle name="Hyperlink" xfId="4032" builtinId="8" hidden="1"/>
    <cellStyle name="Hyperlink" xfId="4034" builtinId="8" hidden="1"/>
    <cellStyle name="Hyperlink" xfId="4036" builtinId="8" hidden="1"/>
    <cellStyle name="Hyperlink" xfId="4038" builtinId="8" hidden="1"/>
    <cellStyle name="Hyperlink" xfId="4040" builtinId="8" hidden="1"/>
    <cellStyle name="Hyperlink" xfId="4042" builtinId="8" hidden="1"/>
    <cellStyle name="Hyperlink" xfId="4044" builtinId="8" hidden="1"/>
    <cellStyle name="Hyperlink" xfId="4046" builtinId="8" hidden="1"/>
    <cellStyle name="Hyperlink" xfId="4048" builtinId="8" hidden="1"/>
    <cellStyle name="Hyperlink" xfId="4050" builtinId="8" hidden="1"/>
    <cellStyle name="Hyperlink" xfId="4052" builtinId="8" hidden="1"/>
    <cellStyle name="Hyperlink" xfId="4054" builtinId="8" hidden="1"/>
    <cellStyle name="Hyperlink" xfId="4056" builtinId="8" hidden="1"/>
    <cellStyle name="Hyperlink" xfId="4058" builtinId="8" hidden="1"/>
    <cellStyle name="Hyperlink" xfId="4060" builtinId="8" hidden="1"/>
    <cellStyle name="Hyperlink" xfId="4062" builtinId="8" hidden="1"/>
    <cellStyle name="Hyperlink" xfId="4064" builtinId="8" hidden="1"/>
    <cellStyle name="Hyperlink" xfId="4066" builtinId="8" hidden="1"/>
    <cellStyle name="Hyperlink" xfId="4068" builtinId="8" hidden="1"/>
    <cellStyle name="Hyperlink" xfId="4070" builtinId="8" hidden="1"/>
    <cellStyle name="Hyperlink" xfId="4072" builtinId="8" hidden="1"/>
    <cellStyle name="Hyperlink" xfId="4074" builtinId="8" hidden="1"/>
    <cellStyle name="Hyperlink" xfId="4076" builtinId="8" hidden="1"/>
    <cellStyle name="Hyperlink" xfId="4078" builtinId="8" hidden="1"/>
    <cellStyle name="Hyperlink" xfId="4080" builtinId="8" hidden="1"/>
    <cellStyle name="Hyperlink" xfId="4082" builtinId="8" hidden="1"/>
    <cellStyle name="Hyperlink" xfId="4084" builtinId="8" hidden="1"/>
    <cellStyle name="Hyperlink" xfId="4086" builtinId="8" hidden="1"/>
    <cellStyle name="Hyperlink" xfId="4088" builtinId="8" hidden="1"/>
    <cellStyle name="Hyperlink" xfId="4090" builtinId="8" hidden="1"/>
    <cellStyle name="Hyperlink" xfId="4092" builtinId="8" hidden="1"/>
    <cellStyle name="Hyperlink" xfId="4094" builtinId="8" hidden="1"/>
    <cellStyle name="Hyperlink" xfId="4096" builtinId="8" hidden="1"/>
    <cellStyle name="Hyperlink" xfId="4098" builtinId="8" hidden="1"/>
    <cellStyle name="Hyperlink" xfId="4100" builtinId="8" hidden="1"/>
    <cellStyle name="Hyperlink" xfId="4102" builtinId="8" hidden="1"/>
    <cellStyle name="Hyperlink" xfId="4104" builtinId="8" hidden="1"/>
    <cellStyle name="Hyperlink" xfId="4106" builtinId="8" hidden="1"/>
    <cellStyle name="Hyperlink" xfId="4108" builtinId="8" hidden="1"/>
    <cellStyle name="Hyperlink" xfId="4110" builtinId="8" hidden="1"/>
    <cellStyle name="Hyperlink" xfId="4112" builtinId="8" hidden="1"/>
    <cellStyle name="Hyperlink" xfId="4114" builtinId="8" hidden="1"/>
    <cellStyle name="Hyperlink" xfId="4116" builtinId="8" hidden="1"/>
    <cellStyle name="Hyperlink" xfId="4118" builtinId="8" hidden="1"/>
    <cellStyle name="Hyperlink" xfId="4120" builtinId="8" hidden="1"/>
    <cellStyle name="Hyperlink" xfId="4122" builtinId="8" hidden="1"/>
    <cellStyle name="Hyperlink" xfId="4124" builtinId="8" hidden="1"/>
    <cellStyle name="Hyperlink" xfId="4126" builtinId="8" hidden="1"/>
    <cellStyle name="Hyperlink" xfId="4128" builtinId="8" hidden="1"/>
    <cellStyle name="Hyperlink" xfId="4130" builtinId="8" hidden="1"/>
    <cellStyle name="Hyperlink" xfId="4132" builtinId="8" hidden="1"/>
    <cellStyle name="Hyperlink" xfId="4134" builtinId="8" hidden="1"/>
    <cellStyle name="Hyperlink" xfId="4136" builtinId="8" hidden="1"/>
    <cellStyle name="Hyperlink" xfId="4138" builtinId="8" hidden="1"/>
    <cellStyle name="Hyperlink" xfId="4140" builtinId="8" hidden="1"/>
    <cellStyle name="Hyperlink" xfId="4142" builtinId="8" hidden="1"/>
    <cellStyle name="Hyperlink" xfId="4144" builtinId="8" hidden="1"/>
    <cellStyle name="Hyperlink" xfId="4146" builtinId="8" hidden="1"/>
    <cellStyle name="Hyperlink" xfId="4148" builtinId="8" hidden="1"/>
    <cellStyle name="Hyperlink" xfId="4150" builtinId="8" hidden="1"/>
    <cellStyle name="Hyperlink" xfId="4152" builtinId="8" hidden="1"/>
    <cellStyle name="Hyperlink" xfId="4154" builtinId="8" hidden="1"/>
    <cellStyle name="Hyperlink" xfId="4156" builtinId="8" hidden="1"/>
    <cellStyle name="Hyperlink" xfId="4158" builtinId="8" hidden="1"/>
    <cellStyle name="Hyperlink" xfId="4160" builtinId="8" hidden="1"/>
    <cellStyle name="Hyperlink" xfId="4162" builtinId="8" hidden="1"/>
    <cellStyle name="Hyperlink" xfId="4164" builtinId="8" hidden="1"/>
    <cellStyle name="Hyperlink" xfId="4166" builtinId="8" hidden="1"/>
    <cellStyle name="Hyperlink" xfId="4168" builtinId="8" hidden="1"/>
    <cellStyle name="Hyperlink" xfId="4170" builtinId="8" hidden="1"/>
    <cellStyle name="Hyperlink" xfId="4172" builtinId="8" hidden="1"/>
    <cellStyle name="Hyperlink" xfId="4174" builtinId="8" hidden="1"/>
    <cellStyle name="Hyperlink" xfId="4176" builtinId="8" hidden="1"/>
    <cellStyle name="Hyperlink" xfId="4178" builtinId="8" hidden="1"/>
    <cellStyle name="Hyperlink" xfId="4180" builtinId="8" hidden="1"/>
    <cellStyle name="Hyperlink" xfId="4182" builtinId="8" hidden="1"/>
    <cellStyle name="Hyperlink" xfId="4184" builtinId="8" hidden="1"/>
    <cellStyle name="Hyperlink" xfId="4186" builtinId="8" hidden="1"/>
    <cellStyle name="Hyperlink" xfId="4188" builtinId="8" hidden="1"/>
    <cellStyle name="Hyperlink" xfId="4190" builtinId="8" hidden="1"/>
    <cellStyle name="Hyperlink" xfId="4192" builtinId="8" hidden="1"/>
    <cellStyle name="Hyperlink" xfId="4194" builtinId="8" hidden="1"/>
    <cellStyle name="Hyperlink" xfId="4196" builtinId="8" hidden="1"/>
    <cellStyle name="Hyperlink" xfId="4198" builtinId="8" hidden="1"/>
    <cellStyle name="Hyperlink" xfId="4200" builtinId="8" hidden="1"/>
    <cellStyle name="Hyperlink" xfId="4202" builtinId="8" hidden="1"/>
    <cellStyle name="Hyperlink" xfId="4204" builtinId="8" hidden="1"/>
    <cellStyle name="Hyperlink" xfId="4206" builtinId="8" hidden="1"/>
    <cellStyle name="Hyperlink" xfId="4208" builtinId="8" hidden="1"/>
    <cellStyle name="Hyperlink" xfId="4210" builtinId="8" hidden="1"/>
    <cellStyle name="Hyperlink" xfId="4212" builtinId="8" hidden="1"/>
    <cellStyle name="Hyperlink" xfId="4214" builtinId="8" hidden="1"/>
    <cellStyle name="Hyperlink" xfId="4216" builtinId="8" hidden="1"/>
    <cellStyle name="Hyperlink" xfId="4218" builtinId="8" hidden="1"/>
    <cellStyle name="Hyperlink" xfId="4220" builtinId="8" hidden="1"/>
    <cellStyle name="Hyperlink" xfId="4222" builtinId="8" hidden="1"/>
    <cellStyle name="Hyperlink" xfId="4224" builtinId="8" hidden="1"/>
    <cellStyle name="Hyperlink" xfId="4226" builtinId="8" hidden="1"/>
    <cellStyle name="Hyperlink" xfId="4228" builtinId="8" hidden="1"/>
    <cellStyle name="Hyperlink" xfId="4230" builtinId="8" hidden="1"/>
    <cellStyle name="Hyperlink" xfId="4232" builtinId="8" hidden="1"/>
    <cellStyle name="Hyperlink" xfId="4234" builtinId="8" hidden="1"/>
    <cellStyle name="Hyperlink" xfId="4236" builtinId="8" hidden="1"/>
    <cellStyle name="Hyperlink" xfId="4238" builtinId="8" hidden="1"/>
    <cellStyle name="Hyperlink" xfId="4240" builtinId="8" hidden="1"/>
    <cellStyle name="Hyperlink" xfId="4242" builtinId="8" hidden="1"/>
    <cellStyle name="Hyperlink" xfId="4244" builtinId="8" hidden="1"/>
    <cellStyle name="Hyperlink" xfId="4246" builtinId="8" hidden="1"/>
    <cellStyle name="Hyperlink" xfId="4248" builtinId="8" hidden="1"/>
    <cellStyle name="Hyperlink" xfId="4250" builtinId="8" hidden="1"/>
    <cellStyle name="Hyperlink" xfId="4252" builtinId="8" hidden="1"/>
    <cellStyle name="Hyperlink" xfId="4254" builtinId="8" hidden="1"/>
    <cellStyle name="Hyperlink" xfId="4256" builtinId="8" hidden="1"/>
    <cellStyle name="Hyperlink" xfId="4258" builtinId="8" hidden="1"/>
    <cellStyle name="Hyperlink" xfId="4260" builtinId="8" hidden="1"/>
    <cellStyle name="Hyperlink" xfId="4262" builtinId="8" hidden="1"/>
    <cellStyle name="Hyperlink" xfId="4264" builtinId="8" hidden="1"/>
    <cellStyle name="Hyperlink" xfId="4266" builtinId="8" hidden="1"/>
    <cellStyle name="Hyperlink" xfId="4268" builtinId="8" hidden="1"/>
    <cellStyle name="Hyperlink" xfId="4270" builtinId="8" hidden="1"/>
    <cellStyle name="Hyperlink" xfId="4272" builtinId="8" hidden="1"/>
    <cellStyle name="Hyperlink" xfId="4274" builtinId="8" hidden="1"/>
    <cellStyle name="Hyperlink" xfId="4276" builtinId="8" hidden="1"/>
    <cellStyle name="Hyperlink" xfId="4278" builtinId="8" hidden="1"/>
    <cellStyle name="Hyperlink" xfId="4280" builtinId="8" hidden="1"/>
    <cellStyle name="Hyperlink" xfId="4282" builtinId="8" hidden="1"/>
    <cellStyle name="Hyperlink" xfId="4284" builtinId="8" hidden="1"/>
    <cellStyle name="Hyperlink" xfId="4286" builtinId="8" hidden="1"/>
    <cellStyle name="Hyperlink" xfId="4288" builtinId="8" hidden="1"/>
    <cellStyle name="Hyperlink" xfId="4290" builtinId="8" hidden="1"/>
    <cellStyle name="Hyperlink" xfId="4292" builtinId="8" hidden="1"/>
    <cellStyle name="Hyperlink" xfId="4294" builtinId="8" hidden="1"/>
    <cellStyle name="Hyperlink" xfId="4296" builtinId="8" hidden="1"/>
    <cellStyle name="Hyperlink" xfId="4298" builtinId="8" hidden="1"/>
    <cellStyle name="Hyperlink" xfId="4300" builtinId="8" hidden="1"/>
    <cellStyle name="Hyperlink" xfId="4302" builtinId="8" hidden="1"/>
    <cellStyle name="Hyperlink" xfId="4304" builtinId="8" hidden="1"/>
    <cellStyle name="Hyperlink" xfId="4306" builtinId="8" hidden="1"/>
    <cellStyle name="Hyperlink" xfId="4308" builtinId="8" hidden="1"/>
    <cellStyle name="Hyperlink" xfId="4310" builtinId="8" hidden="1"/>
    <cellStyle name="Hyperlink" xfId="4312" builtinId="8" hidden="1"/>
    <cellStyle name="Hyperlink" xfId="4314" builtinId="8" hidden="1"/>
    <cellStyle name="Hyperlink" xfId="4316" builtinId="8" hidden="1"/>
    <cellStyle name="Hyperlink" xfId="4318" builtinId="8" hidden="1"/>
    <cellStyle name="Hyperlink" xfId="4320" builtinId="8" hidden="1"/>
    <cellStyle name="Hyperlink" xfId="4322" builtinId="8" hidden="1"/>
    <cellStyle name="Hyperlink" xfId="4324" builtinId="8" hidden="1"/>
    <cellStyle name="Hyperlink" xfId="4326" builtinId="8" hidden="1"/>
    <cellStyle name="Hyperlink" xfId="4328" builtinId="8" hidden="1"/>
    <cellStyle name="Hyperlink" xfId="4330" builtinId="8" hidden="1"/>
    <cellStyle name="Hyperlink" xfId="4332" builtinId="8" hidden="1"/>
    <cellStyle name="Hyperlink" xfId="4334" builtinId="8" hidden="1"/>
    <cellStyle name="Hyperlink" xfId="4336" builtinId="8" hidden="1"/>
    <cellStyle name="Hyperlink" xfId="4338" builtinId="8" hidden="1"/>
    <cellStyle name="Hyperlink" xfId="4340" builtinId="8" hidden="1"/>
    <cellStyle name="Hyperlink" xfId="4342" builtinId="8" hidden="1"/>
    <cellStyle name="Hyperlink" xfId="4344" builtinId="8" hidden="1"/>
    <cellStyle name="Hyperlink" xfId="4346" builtinId="8" hidden="1"/>
    <cellStyle name="Hyperlink" xfId="4348" builtinId="8" hidden="1"/>
    <cellStyle name="Hyperlink" xfId="4350" builtinId="8" hidden="1"/>
    <cellStyle name="Hyperlink" xfId="4352" builtinId="8" hidden="1"/>
    <cellStyle name="Hyperlink" xfId="4354" builtinId="8" hidden="1"/>
    <cellStyle name="Hyperlink" xfId="4356" builtinId="8" hidden="1"/>
    <cellStyle name="Hyperlink" xfId="4358" builtinId="8" hidden="1"/>
    <cellStyle name="Hyperlink" xfId="4360" builtinId="8" hidden="1"/>
    <cellStyle name="Hyperlink" xfId="4362" builtinId="8" hidden="1"/>
    <cellStyle name="Hyperlink" xfId="4364" builtinId="8" hidden="1"/>
    <cellStyle name="Hyperlink" xfId="4366" builtinId="8" hidden="1"/>
    <cellStyle name="Hyperlink" xfId="4368" builtinId="8" hidden="1"/>
    <cellStyle name="Hyperlink" xfId="4370" builtinId="8" hidden="1"/>
    <cellStyle name="Hyperlink" xfId="4372" builtinId="8" hidden="1"/>
    <cellStyle name="Hyperlink" xfId="4374" builtinId="8" hidden="1"/>
    <cellStyle name="Hyperlink" xfId="4376" builtinId="8" hidden="1"/>
    <cellStyle name="Hyperlink" xfId="4378" builtinId="8" hidden="1"/>
    <cellStyle name="Hyperlink" xfId="4380" builtinId="8" hidden="1"/>
    <cellStyle name="Hyperlink" xfId="4382" builtinId="8" hidden="1"/>
    <cellStyle name="Hyperlink" xfId="4384" builtinId="8" hidden="1"/>
    <cellStyle name="Hyperlink" xfId="4386" builtinId="8" hidden="1"/>
    <cellStyle name="Hyperlink" xfId="4388" builtinId="8" hidden="1"/>
    <cellStyle name="Hyperlink" xfId="4390" builtinId="8" hidden="1"/>
    <cellStyle name="Hyperlink" xfId="4392" builtinId="8" hidden="1"/>
    <cellStyle name="Hyperlink" xfId="4394" builtinId="8" hidden="1"/>
    <cellStyle name="Hyperlink" xfId="4396" builtinId="8" hidden="1"/>
    <cellStyle name="Hyperlink" xfId="4398" builtinId="8" hidden="1"/>
    <cellStyle name="Hyperlink" xfId="4400" builtinId="8" hidden="1"/>
    <cellStyle name="Hyperlink" xfId="4402" builtinId="8" hidden="1"/>
    <cellStyle name="Hyperlink" xfId="4404" builtinId="8" hidden="1"/>
    <cellStyle name="Hyperlink" xfId="4406" builtinId="8" hidden="1"/>
    <cellStyle name="Hyperlink" xfId="4408" builtinId="8" hidden="1"/>
    <cellStyle name="Hyperlink" xfId="4410" builtinId="8" hidden="1"/>
    <cellStyle name="Hyperlink" xfId="4412" builtinId="8" hidden="1"/>
    <cellStyle name="Hyperlink" xfId="4414" builtinId="8" hidden="1"/>
    <cellStyle name="Hyperlink" xfId="4416" builtinId="8" hidden="1"/>
    <cellStyle name="Hyperlink" xfId="4418" builtinId="8" hidden="1"/>
    <cellStyle name="Hyperlink" xfId="4420" builtinId="8" hidden="1"/>
    <cellStyle name="Hyperlink" xfId="4422" builtinId="8" hidden="1"/>
    <cellStyle name="Hyperlink" xfId="4424" builtinId="8" hidden="1"/>
    <cellStyle name="Hyperlink" xfId="4426" builtinId="8" hidden="1"/>
    <cellStyle name="Hyperlink" xfId="4428" builtinId="8" hidden="1"/>
    <cellStyle name="Hyperlink" xfId="4430" builtinId="8" hidden="1"/>
    <cellStyle name="Hyperlink" xfId="4432" builtinId="8" hidden="1"/>
    <cellStyle name="Hyperlink" xfId="4434" builtinId="8" hidden="1"/>
    <cellStyle name="Hyperlink" xfId="4436" builtinId="8" hidden="1"/>
    <cellStyle name="Hyperlink" xfId="4438" builtinId="8" hidden="1"/>
    <cellStyle name="Hyperlink" xfId="4440" builtinId="8" hidden="1"/>
    <cellStyle name="Hyperlink" xfId="4442" builtinId="8" hidden="1"/>
    <cellStyle name="Hyperlink" xfId="4444" builtinId="8" hidden="1"/>
    <cellStyle name="Hyperlink" xfId="4446" builtinId="8" hidden="1"/>
    <cellStyle name="Hyperlink" xfId="4448" builtinId="8" hidden="1"/>
    <cellStyle name="Hyperlink" xfId="4450" builtinId="8" hidden="1"/>
    <cellStyle name="Hyperlink" xfId="4452" builtinId="8" hidden="1"/>
    <cellStyle name="Hyperlink" xfId="4454" builtinId="8" hidden="1"/>
    <cellStyle name="Hyperlink" xfId="4456" builtinId="8" hidden="1"/>
    <cellStyle name="Hyperlink" xfId="4458" builtinId="8" hidden="1"/>
    <cellStyle name="Hyperlink" xfId="4460" builtinId="8" hidden="1"/>
    <cellStyle name="Hyperlink" xfId="4462" builtinId="8" hidden="1"/>
    <cellStyle name="Hyperlink" xfId="4464" builtinId="8" hidden="1"/>
    <cellStyle name="Hyperlink" xfId="4466" builtinId="8" hidden="1"/>
    <cellStyle name="Hyperlink" xfId="4468" builtinId="8" hidden="1"/>
    <cellStyle name="Hyperlink" xfId="4470" builtinId="8" hidden="1"/>
    <cellStyle name="Hyperlink" xfId="4472" builtinId="8" hidden="1"/>
    <cellStyle name="Hyperlink" xfId="4474" builtinId="8" hidden="1"/>
    <cellStyle name="Hyperlink" xfId="4476" builtinId="8" hidden="1"/>
    <cellStyle name="Hyperlink" xfId="4478" builtinId="8" hidden="1"/>
    <cellStyle name="Hyperlink" xfId="4480" builtinId="8" hidden="1"/>
    <cellStyle name="Hyperlink" xfId="4482" builtinId="8" hidden="1"/>
    <cellStyle name="Hyperlink" xfId="4484" builtinId="8" hidden="1"/>
    <cellStyle name="Hyperlink" xfId="4486" builtinId="8" hidden="1"/>
    <cellStyle name="Hyperlink" xfId="4488" builtinId="8" hidden="1"/>
    <cellStyle name="Hyperlink" xfId="4490" builtinId="8" hidden="1"/>
    <cellStyle name="Hyperlink" xfId="4492" builtinId="8" hidden="1"/>
    <cellStyle name="Hyperlink" xfId="4494" builtinId="8" hidden="1"/>
    <cellStyle name="Hyperlink" xfId="4496" builtinId="8" hidden="1"/>
    <cellStyle name="Hyperlink" xfId="4498" builtinId="8" hidden="1"/>
    <cellStyle name="Hyperlink" xfId="4500" builtinId="8" hidden="1"/>
    <cellStyle name="Hyperlink" xfId="4502" builtinId="8" hidden="1"/>
    <cellStyle name="Hyperlink" xfId="4504" builtinId="8" hidden="1"/>
    <cellStyle name="Hyperlink" xfId="4506" builtinId="8" hidden="1"/>
    <cellStyle name="Hyperlink" xfId="4508" builtinId="8" hidden="1"/>
    <cellStyle name="Hyperlink" xfId="4510" builtinId="8" hidden="1"/>
    <cellStyle name="Hyperlink" xfId="4512" builtinId="8" hidden="1"/>
    <cellStyle name="Hyperlink" xfId="4514" builtinId="8" hidden="1"/>
    <cellStyle name="Hyperlink" xfId="4516" builtinId="8" hidden="1"/>
    <cellStyle name="Hyperlink" xfId="4518" builtinId="8" hidden="1"/>
    <cellStyle name="Hyperlink" xfId="4520" builtinId="8" hidden="1"/>
    <cellStyle name="Hyperlink" xfId="4522" builtinId="8" hidden="1"/>
    <cellStyle name="Hyperlink" xfId="4524" builtinId="8" hidden="1"/>
    <cellStyle name="Hyperlink" xfId="4526" builtinId="8" hidden="1"/>
    <cellStyle name="Hyperlink" xfId="4528" builtinId="8" hidden="1"/>
    <cellStyle name="Hyperlink" xfId="4530" builtinId="8" hidden="1"/>
    <cellStyle name="Hyperlink" xfId="4532" builtinId="8" hidden="1"/>
    <cellStyle name="Hyperlink" xfId="4534" builtinId="8" hidden="1"/>
    <cellStyle name="Hyperlink" xfId="4536" builtinId="8" hidden="1"/>
    <cellStyle name="Hyperlink" xfId="4538" builtinId="8" hidden="1"/>
    <cellStyle name="Hyperlink" xfId="4540" builtinId="8" hidden="1"/>
    <cellStyle name="Hyperlink" xfId="4542" builtinId="8" hidden="1"/>
    <cellStyle name="Hyperlink" xfId="4544" builtinId="8" hidden="1"/>
    <cellStyle name="Hyperlink" xfId="4546" builtinId="8" hidden="1"/>
    <cellStyle name="Hyperlink" xfId="4548" builtinId="8" hidden="1"/>
    <cellStyle name="Hyperlink" xfId="4550" builtinId="8" hidden="1"/>
    <cellStyle name="Hyperlink" xfId="4552" builtinId="8" hidden="1"/>
    <cellStyle name="Hyperlink" xfId="4554" builtinId="8" hidden="1"/>
    <cellStyle name="Hyperlink" xfId="4556" builtinId="8" hidden="1"/>
    <cellStyle name="Hyperlink" xfId="4558" builtinId="8" hidden="1"/>
    <cellStyle name="Hyperlink" xfId="4560" builtinId="8" hidden="1"/>
    <cellStyle name="Hyperlink" xfId="4562" builtinId="8" hidden="1"/>
    <cellStyle name="Hyperlink" xfId="4564" builtinId="8" hidden="1"/>
    <cellStyle name="Hyperlink" xfId="4566" builtinId="8" hidden="1"/>
    <cellStyle name="Hyperlink" xfId="4568" builtinId="8" hidden="1"/>
    <cellStyle name="Hyperlink" xfId="4570" builtinId="8" hidden="1"/>
    <cellStyle name="Hyperlink" xfId="4572" builtinId="8" hidden="1"/>
    <cellStyle name="Hyperlink" xfId="4574" builtinId="8" hidden="1"/>
    <cellStyle name="Hyperlink" xfId="4576" builtinId="8" hidden="1"/>
    <cellStyle name="Hyperlink" xfId="4578" builtinId="8" hidden="1"/>
    <cellStyle name="Hyperlink" xfId="4580" builtinId="8" hidden="1"/>
    <cellStyle name="Hyperlink" xfId="4582" builtinId="8" hidden="1"/>
    <cellStyle name="Hyperlink" xfId="4584" builtinId="8" hidden="1"/>
    <cellStyle name="Hyperlink" xfId="4586" builtinId="8" hidden="1"/>
    <cellStyle name="Hyperlink" xfId="4588" builtinId="8" hidden="1"/>
    <cellStyle name="Hyperlink" xfId="4590" builtinId="8" hidden="1"/>
    <cellStyle name="Hyperlink" xfId="4592" builtinId="8" hidden="1"/>
    <cellStyle name="Hyperlink" xfId="4594" builtinId="8" hidden="1"/>
    <cellStyle name="Hyperlink" xfId="4596" builtinId="8" hidden="1"/>
    <cellStyle name="Hyperlink" xfId="4598" builtinId="8" hidden="1"/>
    <cellStyle name="Hyperlink" xfId="4600" builtinId="8" hidden="1"/>
    <cellStyle name="Hyperlink" xfId="4602" builtinId="8" hidden="1"/>
    <cellStyle name="Hyperlink" xfId="4604" builtinId="8" hidden="1"/>
    <cellStyle name="Hyperlink" xfId="4606" builtinId="8" hidden="1"/>
    <cellStyle name="Hyperlink" xfId="4608" builtinId="8" hidden="1"/>
    <cellStyle name="Hyperlink" xfId="4610" builtinId="8" hidden="1"/>
    <cellStyle name="Hyperlink" xfId="4612" builtinId="8" hidden="1"/>
    <cellStyle name="Hyperlink" xfId="4614" builtinId="8" hidden="1"/>
    <cellStyle name="Hyperlink" xfId="4616" builtinId="8" hidden="1"/>
    <cellStyle name="Hyperlink" xfId="4618" builtinId="8" hidden="1"/>
    <cellStyle name="Hyperlink" xfId="4620" builtinId="8" hidden="1"/>
    <cellStyle name="Hyperlink" xfId="4622" builtinId="8" hidden="1"/>
    <cellStyle name="Hyperlink" xfId="4624" builtinId="8" hidden="1"/>
    <cellStyle name="Hyperlink" xfId="4626" builtinId="8" hidden="1"/>
    <cellStyle name="Hyperlink" xfId="4628" builtinId="8" hidden="1"/>
    <cellStyle name="Hyperlink" xfId="4630" builtinId="8" hidden="1"/>
    <cellStyle name="Hyperlink" xfId="4632" builtinId="8" hidden="1"/>
    <cellStyle name="Hyperlink" xfId="4634" builtinId="8" hidden="1"/>
    <cellStyle name="Hyperlink" xfId="4636" builtinId="8" hidden="1"/>
    <cellStyle name="Hyperlink" xfId="4638" builtinId="8" hidden="1"/>
    <cellStyle name="Hyperlink" xfId="4640" builtinId="8" hidden="1"/>
    <cellStyle name="Hyperlink" xfId="4642" builtinId="8" hidden="1"/>
    <cellStyle name="Hyperlink" xfId="4644" builtinId="8" hidden="1"/>
    <cellStyle name="Hyperlink" xfId="4646" builtinId="8" hidden="1"/>
    <cellStyle name="Hyperlink" xfId="4648" builtinId="8" hidden="1"/>
    <cellStyle name="Hyperlink" xfId="4650" builtinId="8" hidden="1"/>
    <cellStyle name="Hyperlink" xfId="4652" builtinId="8" hidden="1"/>
    <cellStyle name="Hyperlink" xfId="4654" builtinId="8" hidden="1"/>
    <cellStyle name="Hyperlink" xfId="4656" builtinId="8" hidden="1"/>
    <cellStyle name="Hyperlink" xfId="4658" builtinId="8" hidden="1"/>
    <cellStyle name="Hyperlink" xfId="4660" builtinId="8" hidden="1"/>
    <cellStyle name="Hyperlink" xfId="4662" builtinId="8" hidden="1"/>
    <cellStyle name="Hyperlink" xfId="4664" builtinId="8" hidden="1"/>
    <cellStyle name="Hyperlink" xfId="4666" builtinId="8" hidden="1"/>
    <cellStyle name="Hyperlink" xfId="4668" builtinId="8" hidden="1"/>
    <cellStyle name="Hyperlink" xfId="4670" builtinId="8" hidden="1"/>
    <cellStyle name="Hyperlink" xfId="4672" builtinId="8" hidden="1"/>
    <cellStyle name="Hyperlink" xfId="4674" builtinId="8" hidden="1"/>
    <cellStyle name="Hyperlink" xfId="4676" builtinId="8" hidden="1"/>
    <cellStyle name="Hyperlink" xfId="4678" builtinId="8" hidden="1"/>
    <cellStyle name="Hyperlink" xfId="4680" builtinId="8" hidden="1"/>
    <cellStyle name="Hyperlink" xfId="4682" builtinId="8" hidden="1"/>
    <cellStyle name="Hyperlink" xfId="4684" builtinId="8" hidden="1"/>
    <cellStyle name="Hyperlink" xfId="4686" builtinId="8" hidden="1"/>
    <cellStyle name="Hyperlink" xfId="4688" builtinId="8" hidden="1"/>
    <cellStyle name="Hyperlink" xfId="4690" builtinId="8" hidden="1"/>
    <cellStyle name="Hyperlink" xfId="4692" builtinId="8" hidden="1"/>
    <cellStyle name="Hyperlink" xfId="4694" builtinId="8" hidden="1"/>
    <cellStyle name="Hyperlink" xfId="4696" builtinId="8" hidden="1"/>
    <cellStyle name="Hyperlink" xfId="4698" builtinId="8" hidden="1"/>
    <cellStyle name="Hyperlink" xfId="4700" builtinId="8" hidden="1"/>
    <cellStyle name="Hyperlink" xfId="4702" builtinId="8" hidden="1"/>
    <cellStyle name="Hyperlink" xfId="4704" builtinId="8" hidden="1"/>
    <cellStyle name="Hyperlink" xfId="4706" builtinId="8" hidden="1"/>
    <cellStyle name="Hyperlink" xfId="4708" builtinId="8" hidden="1"/>
    <cellStyle name="Hyperlink" xfId="4710" builtinId="8" hidden="1"/>
    <cellStyle name="Hyperlink" xfId="4712" builtinId="8" hidden="1"/>
    <cellStyle name="Hyperlink" xfId="4714" builtinId="8" hidden="1"/>
    <cellStyle name="Hyperlink" xfId="4716" builtinId="8" hidden="1"/>
    <cellStyle name="Hyperlink" xfId="4718" builtinId="8" hidden="1"/>
    <cellStyle name="Hyperlink" xfId="4720" builtinId="8" hidden="1"/>
    <cellStyle name="Hyperlink" xfId="4722" builtinId="8" hidden="1"/>
    <cellStyle name="Hyperlink" xfId="4724" builtinId="8" hidden="1"/>
    <cellStyle name="Hyperlink" xfId="4726" builtinId="8" hidden="1"/>
    <cellStyle name="Hyperlink" xfId="4728" builtinId="8" hidden="1"/>
    <cellStyle name="Hyperlink" xfId="4730" builtinId="8" hidden="1"/>
    <cellStyle name="Hyperlink" xfId="4732" builtinId="8" hidden="1"/>
    <cellStyle name="Hyperlink" xfId="4734" builtinId="8" hidden="1"/>
    <cellStyle name="Hyperlink" xfId="4736" builtinId="8" hidden="1"/>
    <cellStyle name="Hyperlink" xfId="4738" builtinId="8" hidden="1"/>
    <cellStyle name="Hyperlink" xfId="4740" builtinId="8" hidden="1"/>
    <cellStyle name="Hyperlink" xfId="4742" builtinId="8" hidden="1"/>
    <cellStyle name="Hyperlink" xfId="4744" builtinId="8" hidden="1"/>
    <cellStyle name="Hyperlink" xfId="4746" builtinId="8" hidden="1"/>
    <cellStyle name="Hyperlink" xfId="4748" builtinId="8" hidden="1"/>
    <cellStyle name="Hyperlink" xfId="4750" builtinId="8" hidden="1"/>
    <cellStyle name="Hyperlink" xfId="4752" builtinId="8" hidden="1"/>
    <cellStyle name="Hyperlink" xfId="4754" builtinId="8" hidden="1"/>
    <cellStyle name="Hyperlink" xfId="4756" builtinId="8" hidden="1"/>
    <cellStyle name="Hyperlink" xfId="4758" builtinId="8" hidden="1"/>
    <cellStyle name="Hyperlink" xfId="4760" builtinId="8" hidden="1"/>
    <cellStyle name="Hyperlink" xfId="4762" builtinId="8" hidden="1"/>
    <cellStyle name="Hyperlink" xfId="4764" builtinId="8" hidden="1"/>
    <cellStyle name="Hyperlink" xfId="4766" builtinId="8" hidden="1"/>
    <cellStyle name="Hyperlink" xfId="4768" builtinId="8" hidden="1"/>
    <cellStyle name="Hyperlink" xfId="4770" builtinId="8" hidden="1"/>
    <cellStyle name="Hyperlink" xfId="4772" builtinId="8" hidden="1"/>
    <cellStyle name="Hyperlink" xfId="4774" builtinId="8" hidden="1"/>
    <cellStyle name="Hyperlink" xfId="4776" builtinId="8" hidden="1"/>
    <cellStyle name="Hyperlink" xfId="4778" builtinId="8" hidden="1"/>
    <cellStyle name="Hyperlink" xfId="4780" builtinId="8" hidden="1"/>
    <cellStyle name="Hyperlink" xfId="4782" builtinId="8" hidden="1"/>
    <cellStyle name="Hyperlink" xfId="4784" builtinId="8" hidden="1"/>
    <cellStyle name="Hyperlink" xfId="4786" builtinId="8" hidden="1"/>
    <cellStyle name="Hyperlink" xfId="4788" builtinId="8" hidden="1"/>
    <cellStyle name="Hyperlink" xfId="4790" builtinId="8" hidden="1"/>
    <cellStyle name="Hyperlink" xfId="4792" builtinId="8" hidden="1"/>
    <cellStyle name="Hyperlink" xfId="4794" builtinId="8" hidden="1"/>
    <cellStyle name="Hyperlink" xfId="4796" builtinId="8" hidden="1"/>
    <cellStyle name="Hyperlink" xfId="4798" builtinId="8" hidden="1"/>
    <cellStyle name="Hyperlink" xfId="4800" builtinId="8" hidden="1"/>
    <cellStyle name="Hyperlink" xfId="4802" builtinId="8" hidden="1"/>
    <cellStyle name="Hyperlink" xfId="4804" builtinId="8" hidden="1"/>
    <cellStyle name="Hyperlink" xfId="4806" builtinId="8" hidden="1"/>
    <cellStyle name="Hyperlink" xfId="4808" builtinId="8" hidden="1"/>
    <cellStyle name="Hyperlink" xfId="4810" builtinId="8" hidden="1"/>
    <cellStyle name="Hyperlink" xfId="4812" builtinId="8" hidden="1"/>
    <cellStyle name="Hyperlink" xfId="4814" builtinId="8" hidden="1"/>
    <cellStyle name="Hyperlink" xfId="4816" builtinId="8" hidden="1"/>
    <cellStyle name="Hyperlink" xfId="4818" builtinId="8" hidden="1"/>
    <cellStyle name="Hyperlink" xfId="4820" builtinId="8" hidden="1"/>
    <cellStyle name="Hyperlink" xfId="4822" builtinId="8" hidden="1"/>
    <cellStyle name="Hyperlink" xfId="4824" builtinId="8" hidden="1"/>
    <cellStyle name="Hyperlink" xfId="4826" builtinId="8" hidden="1"/>
    <cellStyle name="Hyperlink" xfId="4828" builtinId="8" hidden="1"/>
    <cellStyle name="Hyperlink" xfId="4830" builtinId="8" hidden="1"/>
    <cellStyle name="Hyperlink" xfId="4832" builtinId="8" hidden="1"/>
    <cellStyle name="Hyperlink" xfId="4834" builtinId="8" hidden="1"/>
    <cellStyle name="Hyperlink" xfId="4836" builtinId="8" hidden="1"/>
    <cellStyle name="Hyperlink" xfId="4838" builtinId="8" hidden="1"/>
    <cellStyle name="Hyperlink" xfId="4840" builtinId="8" hidden="1"/>
    <cellStyle name="Hyperlink" xfId="4842" builtinId="8" hidden="1"/>
    <cellStyle name="Hyperlink" xfId="4844" builtinId="8" hidden="1"/>
    <cellStyle name="Hyperlink" xfId="4846" builtinId="8" hidden="1"/>
    <cellStyle name="Hyperlink" xfId="4848" builtinId="8" hidden="1"/>
    <cellStyle name="Hyperlink" xfId="4850" builtinId="8" hidden="1"/>
    <cellStyle name="Hyperlink" xfId="4852" builtinId="8" hidden="1"/>
    <cellStyle name="Hyperlink" xfId="4854" builtinId="8" hidden="1"/>
    <cellStyle name="Hyperlink" xfId="4856" builtinId="8" hidden="1"/>
    <cellStyle name="Hyperlink" xfId="4858" builtinId="8" hidden="1"/>
    <cellStyle name="Hyperlink" xfId="4860" builtinId="8" hidden="1"/>
    <cellStyle name="Hyperlink" xfId="4862" builtinId="8" hidden="1"/>
    <cellStyle name="Hyperlink" xfId="4864" builtinId="8" hidden="1"/>
    <cellStyle name="Hyperlink" xfId="4866" builtinId="8" hidden="1"/>
    <cellStyle name="Hyperlink" xfId="4868" builtinId="8" hidden="1"/>
    <cellStyle name="Hyperlink" xfId="4870" builtinId="8" hidden="1"/>
    <cellStyle name="Hyperlink" xfId="4872" builtinId="8" hidden="1"/>
    <cellStyle name="Hyperlink" xfId="4874" builtinId="8" hidden="1"/>
    <cellStyle name="Hyperlink" xfId="4876" builtinId="8" hidden="1"/>
    <cellStyle name="Hyperlink" xfId="4878" builtinId="8" hidden="1"/>
    <cellStyle name="Hyperlink" xfId="4880" builtinId="8" hidden="1"/>
    <cellStyle name="Hyperlink" xfId="4882" builtinId="8" hidden="1"/>
    <cellStyle name="Hyperlink" xfId="4884" builtinId="8" hidden="1"/>
    <cellStyle name="Hyperlink" xfId="4886" builtinId="8" hidden="1"/>
    <cellStyle name="Hyperlink" xfId="4888" builtinId="8" hidden="1"/>
    <cellStyle name="Hyperlink" xfId="4890" builtinId="8" hidden="1"/>
    <cellStyle name="Hyperlink" xfId="4892" builtinId="8" hidden="1"/>
    <cellStyle name="Hyperlink" xfId="4894" builtinId="8" hidden="1"/>
    <cellStyle name="Hyperlink" xfId="4896" builtinId="8" hidden="1"/>
    <cellStyle name="Hyperlink" xfId="4898" builtinId="8" hidden="1"/>
    <cellStyle name="Hyperlink" xfId="4900" builtinId="8" hidden="1"/>
    <cellStyle name="Hyperlink" xfId="4902" builtinId="8" hidden="1"/>
    <cellStyle name="Hyperlink" xfId="4904" builtinId="8" hidden="1"/>
    <cellStyle name="Hyperlink" xfId="4906" builtinId="8" hidden="1"/>
    <cellStyle name="Hyperlink" xfId="4908" builtinId="8" hidden="1"/>
    <cellStyle name="Hyperlink" xfId="4910" builtinId="8" hidden="1"/>
    <cellStyle name="Hyperlink" xfId="4912" builtinId="8" hidden="1"/>
    <cellStyle name="Hyperlink" xfId="4914" builtinId="8" hidden="1"/>
    <cellStyle name="Hyperlink" xfId="4916" builtinId="8" hidden="1"/>
    <cellStyle name="Hyperlink" xfId="4918" builtinId="8" hidden="1"/>
    <cellStyle name="Hyperlink" xfId="4920" builtinId="8" hidden="1"/>
    <cellStyle name="Hyperlink" xfId="4922" builtinId="8" hidden="1"/>
    <cellStyle name="Hyperlink" xfId="4924" builtinId="8" hidden="1"/>
    <cellStyle name="Hyperlink" xfId="4926" builtinId="8" hidden="1"/>
    <cellStyle name="Hyperlink" xfId="4928" builtinId="8" hidden="1"/>
    <cellStyle name="Hyperlink" xfId="4930" builtinId="8" hidden="1"/>
    <cellStyle name="Hyperlink" xfId="4932" builtinId="8" hidden="1"/>
    <cellStyle name="Hyperlink" xfId="4934" builtinId="8" hidden="1"/>
    <cellStyle name="Hyperlink" xfId="4936" builtinId="8" hidden="1"/>
    <cellStyle name="Hyperlink" xfId="4938" builtinId="8" hidden="1"/>
    <cellStyle name="Hyperlink" xfId="4940" builtinId="8" hidden="1"/>
    <cellStyle name="Hyperlink" xfId="4942" builtinId="8" hidden="1"/>
    <cellStyle name="Hyperlink" xfId="4944" builtinId="8" hidden="1"/>
    <cellStyle name="Hyperlink" xfId="4946" builtinId="8" hidden="1"/>
    <cellStyle name="Hyperlink" xfId="4948" builtinId="8" hidden="1"/>
    <cellStyle name="Hyperlink" xfId="4950" builtinId="8" hidden="1"/>
    <cellStyle name="Hyperlink" xfId="4952" builtinId="8" hidden="1"/>
    <cellStyle name="Hyperlink" xfId="4954" builtinId="8" hidden="1"/>
    <cellStyle name="Hyperlink" xfId="4956" builtinId="8" hidden="1"/>
    <cellStyle name="Hyperlink" xfId="4958" builtinId="8" hidden="1"/>
    <cellStyle name="Hyperlink" xfId="4960" builtinId="8" hidden="1"/>
    <cellStyle name="Hyperlink" xfId="4962" builtinId="8" hidden="1"/>
    <cellStyle name="Hyperlink" xfId="4964" builtinId="8" hidden="1"/>
    <cellStyle name="Hyperlink" xfId="4966" builtinId="8" hidden="1"/>
    <cellStyle name="Hyperlink" xfId="4968" builtinId="8" hidden="1"/>
    <cellStyle name="Hyperlink" xfId="4970" builtinId="8" hidden="1"/>
    <cellStyle name="Hyperlink" xfId="4972" builtinId="8" hidden="1"/>
    <cellStyle name="Hyperlink" xfId="4974" builtinId="8" hidden="1"/>
    <cellStyle name="Hyperlink" xfId="4976" builtinId="8" hidden="1"/>
    <cellStyle name="Hyperlink" xfId="4978" builtinId="8" hidden="1"/>
    <cellStyle name="Hyperlink" xfId="4980" builtinId="8" hidden="1"/>
    <cellStyle name="Hyperlink" xfId="4982" builtinId="8" hidden="1"/>
    <cellStyle name="Hyperlink" xfId="4984" builtinId="8" hidden="1"/>
    <cellStyle name="Hyperlink" xfId="4986" builtinId="8" hidden="1"/>
    <cellStyle name="Hyperlink" xfId="4988" builtinId="8" hidden="1"/>
    <cellStyle name="Hyperlink" xfId="4990" builtinId="8" hidden="1"/>
    <cellStyle name="Hyperlink" xfId="4992" builtinId="8" hidden="1"/>
    <cellStyle name="Hyperlink" xfId="4994" builtinId="8" hidden="1"/>
    <cellStyle name="Hyperlink" xfId="4996" builtinId="8" hidden="1"/>
    <cellStyle name="Hyperlink" xfId="4998" builtinId="8" hidden="1"/>
    <cellStyle name="Hyperlink" xfId="5000" builtinId="8" hidden="1"/>
    <cellStyle name="Hyperlink" xfId="5002" builtinId="8" hidden="1"/>
    <cellStyle name="Hyperlink" xfId="5004" builtinId="8" hidden="1"/>
    <cellStyle name="Hyperlink" xfId="5006" builtinId="8" hidden="1"/>
    <cellStyle name="Hyperlink" xfId="5008" builtinId="8" hidden="1"/>
    <cellStyle name="Hyperlink" xfId="5010" builtinId="8" hidden="1"/>
    <cellStyle name="Hyperlink" xfId="5012" builtinId="8" hidden="1"/>
    <cellStyle name="Hyperlink" xfId="5014" builtinId="8" hidden="1"/>
    <cellStyle name="Hyperlink" xfId="5016" builtinId="8" hidden="1"/>
    <cellStyle name="Hyperlink" xfId="5018" builtinId="8" hidden="1"/>
    <cellStyle name="Hyperlink" xfId="5020" builtinId="8" hidden="1"/>
    <cellStyle name="Hyperlink" xfId="5022" builtinId="8" hidden="1"/>
    <cellStyle name="Hyperlink" xfId="5024" builtinId="8" hidden="1"/>
    <cellStyle name="Hyperlink" xfId="5026" builtinId="8" hidden="1"/>
    <cellStyle name="Hyperlink" xfId="5028" builtinId="8" hidden="1"/>
    <cellStyle name="Hyperlink" xfId="5030" builtinId="8" hidden="1"/>
    <cellStyle name="Hyperlink" xfId="5032" builtinId="8" hidden="1"/>
    <cellStyle name="Hyperlink" xfId="5034" builtinId="8" hidden="1"/>
    <cellStyle name="Hyperlink" xfId="5036" builtinId="8" hidden="1"/>
    <cellStyle name="Hyperlink" xfId="5038" builtinId="8" hidden="1"/>
    <cellStyle name="Hyperlink" xfId="5040" builtinId="8" hidden="1"/>
    <cellStyle name="Hyperlink" xfId="5042" builtinId="8" hidden="1"/>
    <cellStyle name="Hyperlink" xfId="5044" builtinId="8" hidden="1"/>
    <cellStyle name="Hyperlink" xfId="5046" builtinId="8" hidden="1"/>
    <cellStyle name="Hyperlink" xfId="5048" builtinId="8" hidden="1"/>
    <cellStyle name="Hyperlink" xfId="5050" builtinId="8" hidden="1"/>
    <cellStyle name="Hyperlink" xfId="5052" builtinId="8" hidden="1"/>
    <cellStyle name="Hyperlink" xfId="5054" builtinId="8" hidden="1"/>
    <cellStyle name="Hyperlink" xfId="5056" builtinId="8" hidden="1"/>
    <cellStyle name="Hyperlink" xfId="5058" builtinId="8" hidden="1"/>
    <cellStyle name="Hyperlink" xfId="5060" builtinId="8" hidden="1"/>
    <cellStyle name="Hyperlink" xfId="5062" builtinId="8" hidden="1"/>
    <cellStyle name="Hyperlink" xfId="5064" builtinId="8" hidden="1"/>
    <cellStyle name="Hyperlink" xfId="5066" builtinId="8" hidden="1"/>
    <cellStyle name="Hyperlink" xfId="5068" builtinId="8" hidden="1"/>
    <cellStyle name="Hyperlink" xfId="5070" builtinId="8" hidden="1"/>
    <cellStyle name="Hyperlink" xfId="5072" builtinId="8" hidden="1"/>
    <cellStyle name="Hyperlink" xfId="5074" builtinId="8" hidden="1"/>
    <cellStyle name="Hyperlink" xfId="5076" builtinId="8" hidden="1"/>
    <cellStyle name="Hyperlink" xfId="5078" builtinId="8" hidden="1"/>
    <cellStyle name="Hyperlink" xfId="5080" builtinId="8" hidden="1"/>
    <cellStyle name="Hyperlink" xfId="5082" builtinId="8" hidden="1"/>
    <cellStyle name="Hyperlink" xfId="5084" builtinId="8" hidden="1"/>
    <cellStyle name="Hyperlink" xfId="5086" builtinId="8" hidden="1"/>
    <cellStyle name="Hyperlink" xfId="5088" builtinId="8" hidden="1"/>
    <cellStyle name="Hyperlink" xfId="5090" builtinId="8" hidden="1"/>
    <cellStyle name="Hyperlink" xfId="5092" builtinId="8" hidden="1"/>
    <cellStyle name="Hyperlink" xfId="5094" builtinId="8" hidden="1"/>
    <cellStyle name="Hyperlink" xfId="5096" builtinId="8" hidden="1"/>
    <cellStyle name="Hyperlink" xfId="5098" builtinId="8" hidden="1"/>
    <cellStyle name="Hyperlink" xfId="5100" builtinId="8" hidden="1"/>
    <cellStyle name="Hyperlink" xfId="5102" builtinId="8" hidden="1"/>
    <cellStyle name="Hyperlink" xfId="5104" builtinId="8" hidden="1"/>
    <cellStyle name="Hyperlink" xfId="5106" builtinId="8" hidden="1"/>
    <cellStyle name="Hyperlink" xfId="5108" builtinId="8" hidden="1"/>
    <cellStyle name="Hyperlink" xfId="5110" builtinId="8" hidden="1"/>
    <cellStyle name="Hyperlink" xfId="5112" builtinId="8" hidden="1"/>
    <cellStyle name="Hyperlink" xfId="5114" builtinId="8" hidden="1"/>
    <cellStyle name="Hyperlink" xfId="5116" builtinId="8" hidden="1"/>
    <cellStyle name="Hyperlink" xfId="5118" builtinId="8" hidden="1"/>
    <cellStyle name="Hyperlink" xfId="5120" builtinId="8" hidden="1"/>
    <cellStyle name="Hyperlink" xfId="5122" builtinId="8" hidden="1"/>
    <cellStyle name="Hyperlink" xfId="5124" builtinId="8" hidden="1"/>
    <cellStyle name="Hyperlink" xfId="5126" builtinId="8" hidden="1"/>
    <cellStyle name="Hyperlink" xfId="5128" builtinId="8" hidden="1"/>
    <cellStyle name="Hyperlink" xfId="5130" builtinId="8" hidden="1"/>
    <cellStyle name="Hyperlink" xfId="5132" builtinId="8" hidden="1"/>
    <cellStyle name="Hyperlink" xfId="5134" builtinId="8" hidden="1"/>
    <cellStyle name="Hyperlink" xfId="5136" builtinId="8" hidden="1"/>
    <cellStyle name="Hyperlink" xfId="5138" builtinId="8" hidden="1"/>
    <cellStyle name="Hyperlink" xfId="5140" builtinId="8" hidden="1"/>
    <cellStyle name="Hyperlink" xfId="5142" builtinId="8" hidden="1"/>
    <cellStyle name="Hyperlink" xfId="5144" builtinId="8" hidden="1"/>
    <cellStyle name="Hyperlink" xfId="5146" builtinId="8" hidden="1"/>
    <cellStyle name="Hyperlink" xfId="5148" builtinId="8" hidden="1"/>
    <cellStyle name="Hyperlink" xfId="5150" builtinId="8" hidden="1"/>
    <cellStyle name="Hyperlink" xfId="5152" builtinId="8" hidden="1"/>
    <cellStyle name="Hyperlink" xfId="5154" builtinId="8" hidden="1"/>
    <cellStyle name="Hyperlink" xfId="5156" builtinId="8" hidden="1"/>
    <cellStyle name="Hyperlink" xfId="5158" builtinId="8" hidden="1"/>
    <cellStyle name="Hyperlink" xfId="5160" builtinId="8" hidden="1"/>
    <cellStyle name="Hyperlink" xfId="5162" builtinId="8" hidden="1"/>
    <cellStyle name="Hyperlink" xfId="5164" builtinId="8" hidden="1"/>
    <cellStyle name="Hyperlink" xfId="5166" builtinId="8" hidden="1"/>
    <cellStyle name="Hyperlink" xfId="5168" builtinId="8" hidden="1"/>
    <cellStyle name="Hyperlink" xfId="5170" builtinId="8" hidden="1"/>
    <cellStyle name="Hyperlink" xfId="5172" builtinId="8" hidden="1"/>
    <cellStyle name="Hyperlink" xfId="5174" builtinId="8" hidden="1"/>
    <cellStyle name="Hyperlink" xfId="5176" builtinId="8" hidden="1"/>
    <cellStyle name="Hyperlink" xfId="5178" builtinId="8" hidden="1"/>
    <cellStyle name="Hyperlink" xfId="5180" builtinId="8" hidden="1"/>
    <cellStyle name="Hyperlink" xfId="5182" builtinId="8" hidden="1"/>
    <cellStyle name="Hyperlink" xfId="5184" builtinId="8" hidden="1"/>
    <cellStyle name="Hyperlink" xfId="5186" builtinId="8" hidden="1"/>
    <cellStyle name="Hyperlink" xfId="5188" builtinId="8" hidden="1"/>
    <cellStyle name="Hyperlink" xfId="5190" builtinId="8" hidden="1"/>
    <cellStyle name="Hyperlink" xfId="5192" builtinId="8" hidden="1"/>
    <cellStyle name="Hyperlink" xfId="5194" builtinId="8" hidden="1"/>
    <cellStyle name="Hyperlink" xfId="5196" builtinId="8" hidden="1"/>
    <cellStyle name="Hyperlink" xfId="5198" builtinId="8" hidden="1"/>
    <cellStyle name="Hyperlink" xfId="5200" builtinId="8" hidden="1"/>
    <cellStyle name="Hyperlink" xfId="5202" builtinId="8" hidden="1"/>
    <cellStyle name="Hyperlink" xfId="5204" builtinId="8" hidden="1"/>
    <cellStyle name="Hyperlink" xfId="5206" builtinId="8" hidden="1"/>
    <cellStyle name="Hyperlink" xfId="5208" builtinId="8" hidden="1"/>
    <cellStyle name="Hyperlink" xfId="5210" builtinId="8" hidden="1"/>
    <cellStyle name="Hyperlink" xfId="5212" builtinId="8" hidden="1"/>
    <cellStyle name="Hyperlink" xfId="5214" builtinId="8" hidden="1"/>
    <cellStyle name="Hyperlink" xfId="5216" builtinId="8" hidden="1"/>
    <cellStyle name="Hyperlink" xfId="5218" builtinId="8" hidden="1"/>
    <cellStyle name="Hyperlink" xfId="5220" builtinId="8" hidden="1"/>
    <cellStyle name="Hyperlink" xfId="5222" builtinId="8" hidden="1"/>
    <cellStyle name="Hyperlink" xfId="5224" builtinId="8" hidden="1"/>
    <cellStyle name="Hyperlink" xfId="5226" builtinId="8" hidden="1"/>
    <cellStyle name="Hyperlink" xfId="5228" builtinId="8" hidden="1"/>
    <cellStyle name="Hyperlink" xfId="5230" builtinId="8" hidden="1"/>
    <cellStyle name="Hyperlink" xfId="5232" builtinId="8" hidden="1"/>
    <cellStyle name="Hyperlink" xfId="5234" builtinId="8" hidden="1"/>
    <cellStyle name="Hyperlink" xfId="5236" builtinId="8" hidden="1"/>
    <cellStyle name="Hyperlink" xfId="5238" builtinId="8" hidden="1"/>
    <cellStyle name="Hyperlink" xfId="5240" builtinId="8" hidden="1"/>
    <cellStyle name="Hyperlink" xfId="5242" builtinId="8" hidden="1"/>
    <cellStyle name="Hyperlink" xfId="5244" builtinId="8" hidden="1"/>
    <cellStyle name="Hyperlink" xfId="5246" builtinId="8" hidden="1"/>
    <cellStyle name="Hyperlink" xfId="5248" builtinId="8" hidden="1"/>
    <cellStyle name="Hyperlink" xfId="5250" builtinId="8" hidden="1"/>
    <cellStyle name="Hyperlink" xfId="5252" builtinId="8" hidden="1"/>
    <cellStyle name="Hyperlink" xfId="5254" builtinId="8" hidden="1"/>
    <cellStyle name="Hyperlink" xfId="5256" builtinId="8" hidden="1"/>
    <cellStyle name="Hyperlink" xfId="5258" builtinId="8" hidden="1"/>
    <cellStyle name="Hyperlink" xfId="5260" builtinId="8" hidden="1"/>
    <cellStyle name="Hyperlink" xfId="5262" builtinId="8" hidden="1"/>
    <cellStyle name="Hyperlink" xfId="5264" builtinId="8" hidden="1"/>
    <cellStyle name="Hyperlink" xfId="5266" builtinId="8" hidden="1"/>
    <cellStyle name="Hyperlink" xfId="5268" builtinId="8" hidden="1"/>
    <cellStyle name="Hyperlink" xfId="5270" builtinId="8" hidden="1"/>
    <cellStyle name="Hyperlink" xfId="5272" builtinId="8" hidden="1"/>
    <cellStyle name="Hyperlink" xfId="5274" builtinId="8" hidden="1"/>
    <cellStyle name="Hyperlink" xfId="5276" builtinId="8" hidden="1"/>
    <cellStyle name="Hyperlink" xfId="5278" builtinId="8" hidden="1"/>
    <cellStyle name="Hyperlink" xfId="5280" builtinId="8" hidden="1"/>
    <cellStyle name="Hyperlink" xfId="5282" builtinId="8" hidden="1"/>
    <cellStyle name="Hyperlink" xfId="5284" builtinId="8" hidden="1"/>
    <cellStyle name="Hyperlink" xfId="5286" builtinId="8" hidden="1"/>
    <cellStyle name="Hyperlink" xfId="5288" builtinId="8" hidden="1"/>
    <cellStyle name="Hyperlink" xfId="5290" builtinId="8" hidden="1"/>
    <cellStyle name="Hyperlink" xfId="5292" builtinId="8" hidden="1"/>
    <cellStyle name="Hyperlink" xfId="5294" builtinId="8" hidden="1"/>
    <cellStyle name="Hyperlink" xfId="5296" builtinId="8" hidden="1"/>
    <cellStyle name="Hyperlink" xfId="5298" builtinId="8" hidden="1"/>
    <cellStyle name="Hyperlink" xfId="5300" builtinId="8" hidden="1"/>
    <cellStyle name="Hyperlink" xfId="5302" builtinId="8" hidden="1"/>
    <cellStyle name="Hyperlink" xfId="5304" builtinId="8" hidden="1"/>
    <cellStyle name="Hyperlink" xfId="5306" builtinId="8" hidden="1"/>
    <cellStyle name="Hyperlink" xfId="5308" builtinId="8" hidden="1"/>
    <cellStyle name="Hyperlink" xfId="5310" builtinId="8" hidden="1"/>
    <cellStyle name="Hyperlink" xfId="5312" builtinId="8" hidden="1"/>
    <cellStyle name="Hyperlink" xfId="5314" builtinId="8" hidden="1"/>
    <cellStyle name="Hyperlink" xfId="5316" builtinId="8" hidden="1"/>
    <cellStyle name="Hyperlink" xfId="5318" builtinId="8" hidden="1"/>
    <cellStyle name="Hyperlink" xfId="5320" builtinId="8" hidden="1"/>
    <cellStyle name="Hyperlink" xfId="5322" builtinId="8" hidden="1"/>
    <cellStyle name="Hyperlink" xfId="5324" builtinId="8" hidden="1"/>
    <cellStyle name="Hyperlink" xfId="5326" builtinId="8" hidden="1"/>
    <cellStyle name="Hyperlink" xfId="5328" builtinId="8" hidden="1"/>
    <cellStyle name="Hyperlink" xfId="5330" builtinId="8" hidden="1"/>
    <cellStyle name="Hyperlink" xfId="5332" builtinId="8" hidden="1"/>
    <cellStyle name="Hyperlink" xfId="5334" builtinId="8" hidden="1"/>
    <cellStyle name="Hyperlink" xfId="5336" builtinId="8" hidden="1"/>
    <cellStyle name="Hyperlink" xfId="5338" builtinId="8" hidden="1"/>
    <cellStyle name="Hyperlink" xfId="5340" builtinId="8" hidden="1"/>
    <cellStyle name="Hyperlink" xfId="5342" builtinId="8" hidden="1"/>
    <cellStyle name="Hyperlink" xfId="5344" builtinId="8" hidden="1"/>
    <cellStyle name="Hyperlink" xfId="5346" builtinId="8" hidden="1"/>
    <cellStyle name="Hyperlink" xfId="5348" builtinId="8" hidden="1"/>
    <cellStyle name="Hyperlink" xfId="5350" builtinId="8" hidden="1"/>
    <cellStyle name="Hyperlink" xfId="5352" builtinId="8" hidden="1"/>
    <cellStyle name="Hyperlink" xfId="5354" builtinId="8" hidden="1"/>
    <cellStyle name="Hyperlink" xfId="5356" builtinId="8" hidden="1"/>
    <cellStyle name="Hyperlink" xfId="5358" builtinId="8" hidden="1"/>
    <cellStyle name="Hyperlink" xfId="5360" builtinId="8" hidden="1"/>
    <cellStyle name="Hyperlink" xfId="5362" builtinId="8" hidden="1"/>
    <cellStyle name="Hyperlink" xfId="5364" builtinId="8" hidden="1"/>
    <cellStyle name="Hyperlink" xfId="5366" builtinId="8" hidden="1"/>
    <cellStyle name="Hyperlink" xfId="5368" builtinId="8" hidden="1"/>
    <cellStyle name="Hyperlink" xfId="5370" builtinId="8" hidden="1"/>
    <cellStyle name="Hyperlink" xfId="5372" builtinId="8" hidden="1"/>
    <cellStyle name="Hyperlink" xfId="5374" builtinId="8" hidden="1"/>
    <cellStyle name="Hyperlink" xfId="5376" builtinId="8" hidden="1"/>
    <cellStyle name="Hyperlink" xfId="5378" builtinId="8" hidden="1"/>
    <cellStyle name="Hyperlink" xfId="5380" builtinId="8" hidden="1"/>
    <cellStyle name="Hyperlink" xfId="5382" builtinId="8" hidden="1"/>
    <cellStyle name="Hyperlink" xfId="5384" builtinId="8" hidden="1"/>
    <cellStyle name="Hyperlink" xfId="5386" builtinId="8" hidden="1"/>
    <cellStyle name="Hyperlink" xfId="5388" builtinId="8" hidden="1"/>
    <cellStyle name="Hyperlink" xfId="5390" builtinId="8" hidden="1"/>
    <cellStyle name="Hyperlink" xfId="5392" builtinId="8" hidden="1"/>
    <cellStyle name="Hyperlink" xfId="5394" builtinId="8" hidden="1"/>
    <cellStyle name="Hyperlink" xfId="5396" builtinId="8" hidden="1"/>
    <cellStyle name="Hyperlink" xfId="5398" builtinId="8" hidden="1"/>
    <cellStyle name="Hyperlink" xfId="5400" builtinId="8" hidden="1"/>
    <cellStyle name="Hyperlink" xfId="5402" builtinId="8" hidden="1"/>
    <cellStyle name="Hyperlink" xfId="5404" builtinId="8" hidden="1"/>
    <cellStyle name="Hyperlink" xfId="5406" builtinId="8" hidden="1"/>
    <cellStyle name="Hyperlink" xfId="5408" builtinId="8" hidden="1"/>
    <cellStyle name="Hyperlink" xfId="5410" builtinId="8" hidden="1"/>
    <cellStyle name="Hyperlink" xfId="5412" builtinId="8" hidden="1"/>
    <cellStyle name="Hyperlink" xfId="5414" builtinId="8" hidden="1"/>
    <cellStyle name="Hyperlink" xfId="5416" builtinId="8" hidden="1"/>
    <cellStyle name="Hyperlink" xfId="5418" builtinId="8" hidden="1"/>
    <cellStyle name="Hyperlink" xfId="5420" builtinId="8" hidden="1"/>
    <cellStyle name="Hyperlink" xfId="5422" builtinId="8" hidden="1"/>
    <cellStyle name="Hyperlink" xfId="5424" builtinId="8" hidden="1"/>
    <cellStyle name="Hyperlink" xfId="5426" builtinId="8" hidden="1"/>
    <cellStyle name="Hyperlink" xfId="5428" builtinId="8" hidden="1"/>
    <cellStyle name="Hyperlink" xfId="5430" builtinId="8" hidden="1"/>
    <cellStyle name="Hyperlink" xfId="5432" builtinId="8" hidden="1"/>
    <cellStyle name="Hyperlink" xfId="5434" builtinId="8" hidden="1"/>
    <cellStyle name="Hyperlink" xfId="5436" builtinId="8" hidden="1"/>
    <cellStyle name="Hyperlink" xfId="5438" builtinId="8" hidden="1"/>
    <cellStyle name="Hyperlink" xfId="5440" builtinId="8" hidden="1"/>
    <cellStyle name="Hyperlink" xfId="5442" builtinId="8" hidden="1"/>
    <cellStyle name="Hyperlink" xfId="5444" builtinId="8" hidden="1"/>
    <cellStyle name="Hyperlink" xfId="5446" builtinId="8" hidden="1"/>
    <cellStyle name="Hyperlink" xfId="5448" builtinId="8" hidden="1"/>
    <cellStyle name="Hyperlink" xfId="5450" builtinId="8" hidden="1"/>
    <cellStyle name="Hyperlink" xfId="5452" builtinId="8" hidden="1"/>
    <cellStyle name="Hyperlink" xfId="5454" builtinId="8" hidden="1"/>
    <cellStyle name="Hyperlink" xfId="5456" builtinId="8" hidden="1"/>
    <cellStyle name="Hyperlink" xfId="5458" builtinId="8" hidden="1"/>
    <cellStyle name="Hyperlink" xfId="5460" builtinId="8" hidden="1"/>
    <cellStyle name="Hyperlink" xfId="5462" builtinId="8" hidden="1"/>
    <cellStyle name="Hyperlink" xfId="5464" builtinId="8" hidden="1"/>
    <cellStyle name="Hyperlink" xfId="5466" builtinId="8" hidden="1"/>
    <cellStyle name="Hyperlink" xfId="5468" builtinId="8" hidden="1"/>
    <cellStyle name="Hyperlink" xfId="5470" builtinId="8" hidden="1"/>
    <cellStyle name="Hyperlink" xfId="5472" builtinId="8" hidden="1"/>
    <cellStyle name="Hyperlink" xfId="5474" builtinId="8" hidden="1"/>
    <cellStyle name="Hyperlink" xfId="5476" builtinId="8" hidden="1"/>
    <cellStyle name="Hyperlink" xfId="5478" builtinId="8" hidden="1"/>
    <cellStyle name="Hyperlink" xfId="5480" builtinId="8" hidden="1"/>
    <cellStyle name="Hyperlink" xfId="5482" builtinId="8" hidden="1"/>
    <cellStyle name="Hyperlink" xfId="5484" builtinId="8" hidden="1"/>
    <cellStyle name="Hyperlink" xfId="5486" builtinId="8" hidden="1"/>
    <cellStyle name="Hyperlink" xfId="5488" builtinId="8" hidden="1"/>
    <cellStyle name="Hyperlink" xfId="5490" builtinId="8" hidden="1"/>
    <cellStyle name="Hyperlink" xfId="5492" builtinId="8" hidden="1"/>
    <cellStyle name="Hyperlink" xfId="5494" builtinId="8" hidden="1"/>
    <cellStyle name="Hyperlink" xfId="5496" builtinId="8" hidden="1"/>
    <cellStyle name="Hyperlink" xfId="5498" builtinId="8" hidden="1"/>
    <cellStyle name="Hyperlink" xfId="5500" builtinId="8" hidden="1"/>
    <cellStyle name="Hyperlink" xfId="5502" builtinId="8" hidden="1"/>
    <cellStyle name="Hyperlink" xfId="5504" builtinId="8" hidden="1"/>
    <cellStyle name="Hyperlink" xfId="5506" builtinId="8" hidden="1"/>
    <cellStyle name="Hyperlink" xfId="5508" builtinId="8" hidden="1"/>
    <cellStyle name="Hyperlink" xfId="5510" builtinId="8" hidden="1"/>
    <cellStyle name="Hyperlink" xfId="5512" builtinId="8" hidden="1"/>
    <cellStyle name="Hyperlink" xfId="5514" builtinId="8" hidden="1"/>
    <cellStyle name="Hyperlink" xfId="5516" builtinId="8" hidden="1"/>
    <cellStyle name="Hyperlink" xfId="5518" builtinId="8" hidden="1"/>
    <cellStyle name="Hyperlink" xfId="5520" builtinId="8" hidden="1"/>
    <cellStyle name="Hyperlink" xfId="5522" builtinId="8" hidden="1"/>
    <cellStyle name="Hyperlink" xfId="5524" builtinId="8" hidden="1"/>
    <cellStyle name="Hyperlink" xfId="5526" builtinId="8" hidden="1"/>
    <cellStyle name="Hyperlink" xfId="5528" builtinId="8" hidden="1"/>
    <cellStyle name="Hyperlink" xfId="5530" builtinId="8" hidden="1"/>
    <cellStyle name="Hyperlink" xfId="5532" builtinId="8" hidden="1"/>
    <cellStyle name="Hyperlink" xfId="5534" builtinId="8" hidden="1"/>
    <cellStyle name="Hyperlink" xfId="5536" builtinId="8" hidden="1"/>
    <cellStyle name="Hyperlink" xfId="5538" builtinId="8" hidden="1"/>
    <cellStyle name="Hyperlink" xfId="5540" builtinId="8" hidden="1"/>
    <cellStyle name="Hyperlink" xfId="5542" builtinId="8" hidden="1"/>
    <cellStyle name="Hyperlink" xfId="5544" builtinId="8" hidden="1"/>
    <cellStyle name="Hyperlink" xfId="5546" builtinId="8" hidden="1"/>
    <cellStyle name="Hyperlink" xfId="5548" builtinId="8" hidden="1"/>
    <cellStyle name="Hyperlink" xfId="5550" builtinId="8" hidden="1"/>
    <cellStyle name="Hyperlink" xfId="5552" builtinId="8" hidden="1"/>
    <cellStyle name="Hyperlink" xfId="5554" builtinId="8" hidden="1"/>
    <cellStyle name="Hyperlink" xfId="5556" builtinId="8" hidden="1"/>
    <cellStyle name="Hyperlink" xfId="5558" builtinId="8" hidden="1"/>
    <cellStyle name="Hyperlink" xfId="5560" builtinId="8" hidden="1"/>
    <cellStyle name="Hyperlink" xfId="5562" builtinId="8" hidden="1"/>
    <cellStyle name="Hyperlink" xfId="5564" builtinId="8" hidden="1"/>
    <cellStyle name="Hyperlink" xfId="5566" builtinId="8" hidden="1"/>
    <cellStyle name="Hyperlink" xfId="5568" builtinId="8" hidden="1"/>
    <cellStyle name="Hyperlink" xfId="5570" builtinId="8" hidden="1"/>
    <cellStyle name="Hyperlink" xfId="5572" builtinId="8" hidden="1"/>
    <cellStyle name="Hyperlink" xfId="5574" builtinId="8" hidden="1"/>
    <cellStyle name="Hyperlink" xfId="5576" builtinId="8" hidden="1"/>
    <cellStyle name="Hyperlink" xfId="5578" builtinId="8" hidden="1"/>
    <cellStyle name="Hyperlink" xfId="5580" builtinId="8" hidden="1"/>
    <cellStyle name="Hyperlink" xfId="5582" builtinId="8" hidden="1"/>
    <cellStyle name="Hyperlink" xfId="5584" builtinId="8" hidden="1"/>
    <cellStyle name="Hyperlink" xfId="5586" builtinId="8" hidden="1"/>
    <cellStyle name="Hyperlink" xfId="5588" builtinId="8" hidden="1"/>
    <cellStyle name="Hyperlink" xfId="5590" builtinId="8" hidden="1"/>
    <cellStyle name="Hyperlink" xfId="5592" builtinId="8" hidden="1"/>
    <cellStyle name="Hyperlink" xfId="5594" builtinId="8" hidden="1"/>
    <cellStyle name="Hyperlink" xfId="5596" builtinId="8" hidden="1"/>
    <cellStyle name="Hyperlink" xfId="5598" builtinId="8" hidden="1"/>
    <cellStyle name="Hyperlink" xfId="5600" builtinId="8" hidden="1"/>
    <cellStyle name="Hyperlink" xfId="5602" builtinId="8" hidden="1"/>
    <cellStyle name="Hyperlink" xfId="5604" builtinId="8" hidden="1"/>
    <cellStyle name="Hyperlink" xfId="5606" builtinId="8" hidden="1"/>
    <cellStyle name="Hyperlink" xfId="5608" builtinId="8" hidden="1"/>
    <cellStyle name="Hyperlink" xfId="5610" builtinId="8" hidden="1"/>
    <cellStyle name="Hyperlink" xfId="5612" builtinId="8" hidden="1"/>
    <cellStyle name="Hyperlink" xfId="5614" builtinId="8" hidden="1"/>
    <cellStyle name="Hyperlink" xfId="5616" builtinId="8" hidden="1"/>
    <cellStyle name="Hyperlink" xfId="5618" builtinId="8" hidden="1"/>
    <cellStyle name="Hyperlink" xfId="5620" builtinId="8" hidden="1"/>
    <cellStyle name="Hyperlink" xfId="5622" builtinId="8" hidden="1"/>
    <cellStyle name="Hyperlink" xfId="5624" builtinId="8" hidden="1"/>
    <cellStyle name="Hyperlink" xfId="5626" builtinId="8" hidden="1"/>
    <cellStyle name="Hyperlink" xfId="5628" builtinId="8" hidden="1"/>
    <cellStyle name="Hyperlink" xfId="5630" builtinId="8" hidden="1"/>
    <cellStyle name="Hyperlink" xfId="5632" builtinId="8" hidden="1"/>
    <cellStyle name="Hyperlink" xfId="5634" builtinId="8" hidden="1"/>
    <cellStyle name="Hyperlink" xfId="5636" builtinId="8" hidden="1"/>
    <cellStyle name="Hyperlink" xfId="5638" builtinId="8" hidden="1"/>
    <cellStyle name="Hyperlink" xfId="5640" builtinId="8" hidden="1"/>
    <cellStyle name="Hyperlink" xfId="5642" builtinId="8" hidden="1"/>
    <cellStyle name="Hyperlink" xfId="5644" builtinId="8" hidden="1"/>
    <cellStyle name="Hyperlink" xfId="5646" builtinId="8" hidden="1"/>
    <cellStyle name="Hyperlink" xfId="5648" builtinId="8" hidden="1"/>
    <cellStyle name="Hyperlink" xfId="5650" builtinId="8" hidden="1"/>
    <cellStyle name="Hyperlink" xfId="5652" builtinId="8" hidden="1"/>
    <cellStyle name="Hyperlink" xfId="5654" builtinId="8" hidden="1"/>
    <cellStyle name="Hyperlink" xfId="5656" builtinId="8" hidden="1"/>
    <cellStyle name="Hyperlink" xfId="5658" builtinId="8" hidden="1"/>
    <cellStyle name="Hyperlink" xfId="5660" builtinId="8" hidden="1"/>
    <cellStyle name="Hyperlink" xfId="5662" builtinId="8" hidden="1"/>
    <cellStyle name="Hyperlink" xfId="5664" builtinId="8" hidden="1"/>
    <cellStyle name="Hyperlink" xfId="5666" builtinId="8" hidden="1"/>
    <cellStyle name="Hyperlink" xfId="5668" builtinId="8" hidden="1"/>
    <cellStyle name="Hyperlink" xfId="5670" builtinId="8" hidden="1"/>
    <cellStyle name="Hyperlink" xfId="5672" builtinId="8" hidden="1"/>
    <cellStyle name="Hyperlink" xfId="5674" builtinId="8" hidden="1"/>
    <cellStyle name="Hyperlink" xfId="5676" builtinId="8" hidden="1"/>
    <cellStyle name="Hyperlink" xfId="5678" builtinId="8" hidden="1"/>
    <cellStyle name="Hyperlink" xfId="5680" builtinId="8" hidden="1"/>
    <cellStyle name="Hyperlink" xfId="5682" builtinId="8" hidden="1"/>
    <cellStyle name="Hyperlink" xfId="5684" builtinId="8" hidden="1"/>
    <cellStyle name="Hyperlink" xfId="5686" builtinId="8" hidden="1"/>
    <cellStyle name="Hyperlink" xfId="5688" builtinId="8" hidden="1"/>
    <cellStyle name="Hyperlink" xfId="5690" builtinId="8" hidden="1"/>
    <cellStyle name="Hyperlink" xfId="5692" builtinId="8" hidden="1"/>
    <cellStyle name="Hyperlink" xfId="5694" builtinId="8" hidden="1"/>
    <cellStyle name="Hyperlink" xfId="5696" builtinId="8" hidden="1"/>
    <cellStyle name="Hyperlink" xfId="5698" builtinId="8" hidden="1"/>
    <cellStyle name="Hyperlink" xfId="5700" builtinId="8" hidden="1"/>
    <cellStyle name="Hyperlink" xfId="5702" builtinId="8" hidden="1"/>
    <cellStyle name="Hyperlink" xfId="5704" builtinId="8" hidden="1"/>
    <cellStyle name="Hyperlink" xfId="5706" builtinId="8" hidden="1"/>
    <cellStyle name="Hyperlink" xfId="5708" builtinId="8" hidden="1"/>
    <cellStyle name="Hyperlink" xfId="5710" builtinId="8" hidden="1"/>
    <cellStyle name="Hyperlink" xfId="5712" builtinId="8" hidden="1"/>
    <cellStyle name="Hyperlink" xfId="5714" builtinId="8" hidden="1"/>
    <cellStyle name="Hyperlink" xfId="5716" builtinId="8" hidden="1"/>
    <cellStyle name="Hyperlink" xfId="5718" builtinId="8" hidden="1"/>
    <cellStyle name="Hyperlink" xfId="5720" builtinId="8" hidden="1"/>
    <cellStyle name="Hyperlink" xfId="5722" builtinId="8" hidden="1"/>
    <cellStyle name="Hyperlink" xfId="5724" builtinId="8" hidden="1"/>
    <cellStyle name="Hyperlink" xfId="5726" builtinId="8" hidden="1"/>
    <cellStyle name="Hyperlink" xfId="5728" builtinId="8" hidden="1"/>
    <cellStyle name="Hyperlink" xfId="5730" builtinId="8" hidden="1"/>
    <cellStyle name="Hyperlink" xfId="5732" builtinId="8" hidden="1"/>
    <cellStyle name="Hyperlink" xfId="5734" builtinId="8" hidden="1"/>
    <cellStyle name="Hyperlink" xfId="5736" builtinId="8" hidden="1"/>
    <cellStyle name="Hyperlink" xfId="5738" builtinId="8" hidden="1"/>
    <cellStyle name="Hyperlink" xfId="5740" builtinId="8" hidden="1"/>
    <cellStyle name="Hyperlink" xfId="5742" builtinId="8" hidden="1"/>
    <cellStyle name="Hyperlink" xfId="5744" builtinId="8" hidden="1"/>
    <cellStyle name="Hyperlink" xfId="5746" builtinId="8" hidden="1"/>
    <cellStyle name="Hyperlink" xfId="5748" builtinId="8" hidden="1"/>
    <cellStyle name="Hyperlink" xfId="5750" builtinId="8" hidden="1"/>
    <cellStyle name="Hyperlink" xfId="5752" builtinId="8" hidden="1"/>
    <cellStyle name="Hyperlink" xfId="5754" builtinId="8" hidden="1"/>
    <cellStyle name="Hyperlink" xfId="5756" builtinId="8" hidden="1"/>
    <cellStyle name="Hyperlink" xfId="5758" builtinId="8" hidden="1"/>
    <cellStyle name="Hyperlink" xfId="5760" builtinId="8" hidden="1"/>
    <cellStyle name="Hyperlink" xfId="5762" builtinId="8" hidden="1"/>
    <cellStyle name="Hyperlink" xfId="5764" builtinId="8" hidden="1"/>
    <cellStyle name="Hyperlink" xfId="5766" builtinId="8" hidden="1"/>
    <cellStyle name="Hyperlink" xfId="5768" builtinId="8" hidden="1"/>
    <cellStyle name="Hyperlink" xfId="5770" builtinId="8" hidden="1"/>
    <cellStyle name="Hyperlink" xfId="5772" builtinId="8" hidden="1"/>
    <cellStyle name="Hyperlink" xfId="5774" builtinId="8" hidden="1"/>
    <cellStyle name="Hyperlink" xfId="5776" builtinId="8" hidden="1"/>
    <cellStyle name="Hyperlink" xfId="5778" builtinId="8" hidden="1"/>
    <cellStyle name="Hyperlink" xfId="5780" builtinId="8" hidden="1"/>
    <cellStyle name="Hyperlink" xfId="5782" builtinId="8" hidden="1"/>
    <cellStyle name="Hyperlink" xfId="5784" builtinId="8" hidden="1"/>
    <cellStyle name="Hyperlink" xfId="5786" builtinId="8" hidden="1"/>
    <cellStyle name="Hyperlink" xfId="5788" builtinId="8" hidden="1"/>
    <cellStyle name="Hyperlink" xfId="5790" builtinId="8" hidden="1"/>
    <cellStyle name="Hyperlink" xfId="5792" builtinId="8" hidden="1"/>
    <cellStyle name="Hyperlink" xfId="5794" builtinId="8" hidden="1"/>
    <cellStyle name="Hyperlink" xfId="5796" builtinId="8" hidden="1"/>
    <cellStyle name="Hyperlink" xfId="5798" builtinId="8" hidden="1"/>
    <cellStyle name="Hyperlink" xfId="5800" builtinId="8" hidden="1"/>
    <cellStyle name="Hyperlink" xfId="5802" builtinId="8" hidden="1"/>
    <cellStyle name="Hyperlink" xfId="5804" builtinId="8" hidden="1"/>
    <cellStyle name="Hyperlink" xfId="5806" builtinId="8" hidden="1"/>
    <cellStyle name="Hyperlink" xfId="5808" builtinId="8" hidden="1"/>
    <cellStyle name="Hyperlink" xfId="5810" builtinId="8" hidden="1"/>
    <cellStyle name="Hyperlink" xfId="5812" builtinId="8" hidden="1"/>
    <cellStyle name="Hyperlink" xfId="5814" builtinId="8" hidden="1"/>
    <cellStyle name="Hyperlink" xfId="5816" builtinId="8" hidden="1"/>
    <cellStyle name="Hyperlink" xfId="5818" builtinId="8" hidden="1"/>
    <cellStyle name="Hyperlink" xfId="5820" builtinId="8" hidden="1"/>
    <cellStyle name="Hyperlink" xfId="5822" builtinId="8" hidden="1"/>
    <cellStyle name="Hyperlink" xfId="5824" builtinId="8" hidden="1"/>
    <cellStyle name="Hyperlink" xfId="5826" builtinId="8" hidden="1"/>
    <cellStyle name="Hyperlink" xfId="5828" builtinId="8" hidden="1"/>
    <cellStyle name="Hyperlink" xfId="5830" builtinId="8" hidden="1"/>
    <cellStyle name="Hyperlink" xfId="5832" builtinId="8" hidden="1"/>
    <cellStyle name="Hyperlink" xfId="5834" builtinId="8" hidden="1"/>
    <cellStyle name="Hyperlink" xfId="5836" builtinId="8" hidden="1"/>
    <cellStyle name="Hyperlink" xfId="5838" builtinId="8" hidden="1"/>
    <cellStyle name="Hyperlink" xfId="5840" builtinId="8" hidden="1"/>
    <cellStyle name="Hyperlink" xfId="5842" builtinId="8" hidden="1"/>
    <cellStyle name="Hyperlink" xfId="5844" builtinId="8" hidden="1"/>
    <cellStyle name="Hyperlink" xfId="5846" builtinId="8" hidden="1"/>
    <cellStyle name="Hyperlink" xfId="5848" builtinId="8" hidden="1"/>
    <cellStyle name="Hyperlink" xfId="5850" builtinId="8" hidden="1"/>
    <cellStyle name="Hyperlink" xfId="5852" builtinId="8" hidden="1"/>
    <cellStyle name="Hyperlink" xfId="5854" builtinId="8" hidden="1"/>
    <cellStyle name="Hyperlink" xfId="5856" builtinId="8" hidden="1"/>
    <cellStyle name="Hyperlink" xfId="5858" builtinId="8" hidden="1"/>
    <cellStyle name="Hyperlink" xfId="5860" builtinId="8" hidden="1"/>
    <cellStyle name="Hyperlink" xfId="5862" builtinId="8" hidden="1"/>
    <cellStyle name="Hyperlink" xfId="5864" builtinId="8" hidden="1"/>
    <cellStyle name="Hyperlink" xfId="5866" builtinId="8" hidden="1"/>
    <cellStyle name="Hyperlink" xfId="5868" builtinId="8" hidden="1"/>
    <cellStyle name="Hyperlink" xfId="5870" builtinId="8" hidden="1"/>
    <cellStyle name="Hyperlink" xfId="5872" builtinId="8" hidden="1"/>
    <cellStyle name="Hyperlink" xfId="5874" builtinId="8" hidden="1"/>
    <cellStyle name="Hyperlink" xfId="5876" builtinId="8" hidden="1"/>
    <cellStyle name="Hyperlink" xfId="5878" builtinId="8" hidden="1"/>
    <cellStyle name="Hyperlink" xfId="5880" builtinId="8" hidden="1"/>
    <cellStyle name="Hyperlink" xfId="5882" builtinId="8" hidden="1"/>
    <cellStyle name="Hyperlink" xfId="5884" builtinId="8" hidden="1"/>
    <cellStyle name="Hyperlink" xfId="5886" builtinId="8" hidden="1"/>
    <cellStyle name="Hyperlink" xfId="5888" builtinId="8" hidden="1"/>
    <cellStyle name="Hyperlink" xfId="5890" builtinId="8" hidden="1"/>
    <cellStyle name="Hyperlink" xfId="5892" builtinId="8" hidden="1"/>
    <cellStyle name="Hyperlink" xfId="5894" builtinId="8" hidden="1"/>
    <cellStyle name="Hyperlink" xfId="5896" builtinId="8" hidden="1"/>
    <cellStyle name="Hyperlink" xfId="5898" builtinId="8" hidden="1"/>
    <cellStyle name="Hyperlink" xfId="5900" builtinId="8" hidden="1"/>
    <cellStyle name="Hyperlink" xfId="5902" builtinId="8" hidden="1"/>
    <cellStyle name="Hyperlink" xfId="5904" builtinId="8" hidden="1"/>
    <cellStyle name="Hyperlink" xfId="5906" builtinId="8" hidden="1"/>
    <cellStyle name="Hyperlink" xfId="5908" builtinId="8" hidden="1"/>
    <cellStyle name="Hyperlink" xfId="5910" builtinId="8" hidden="1"/>
    <cellStyle name="Hyperlink" xfId="5912" builtinId="8" hidden="1"/>
    <cellStyle name="Hyperlink" xfId="5914" builtinId="8" hidden="1"/>
    <cellStyle name="Hyperlink" xfId="5916" builtinId="8" hidden="1"/>
    <cellStyle name="Hyperlink" xfId="5918" builtinId="8" hidden="1"/>
    <cellStyle name="Hyperlink" xfId="5920" builtinId="8" hidden="1"/>
    <cellStyle name="Hyperlink" xfId="5922" builtinId="8" hidden="1"/>
    <cellStyle name="Hyperlink" xfId="5924" builtinId="8" hidden="1"/>
    <cellStyle name="Hyperlink" xfId="5926" builtinId="8" hidden="1"/>
    <cellStyle name="Hyperlink" xfId="5928" builtinId="8" hidden="1"/>
    <cellStyle name="Hyperlink" xfId="5930" builtinId="8" hidden="1"/>
    <cellStyle name="Hyperlink" xfId="5932" builtinId="8" hidden="1"/>
    <cellStyle name="Hyperlink" xfId="5934" builtinId="8" hidden="1"/>
    <cellStyle name="Hyperlink" xfId="5936" builtinId="8" hidden="1"/>
    <cellStyle name="Hyperlink" xfId="5938" builtinId="8" hidden="1"/>
    <cellStyle name="Hyperlink" xfId="5940" builtinId="8" hidden="1"/>
    <cellStyle name="Hyperlink" xfId="5942" builtinId="8" hidden="1"/>
    <cellStyle name="Hyperlink" xfId="5944" builtinId="8" hidden="1"/>
    <cellStyle name="Hyperlink" xfId="5946" builtinId="8" hidden="1"/>
    <cellStyle name="Hyperlink" xfId="5948" builtinId="8" hidden="1"/>
    <cellStyle name="Hyperlink" xfId="5950" builtinId="8" hidden="1"/>
    <cellStyle name="Hyperlink" xfId="5952" builtinId="8" hidden="1"/>
    <cellStyle name="Hyperlink" xfId="5954" builtinId="8" hidden="1"/>
    <cellStyle name="Hyperlink" xfId="5956" builtinId="8" hidden="1"/>
    <cellStyle name="Hyperlink" xfId="5958" builtinId="8" hidden="1"/>
    <cellStyle name="Hyperlink" xfId="5960" builtinId="8" hidden="1"/>
    <cellStyle name="Hyperlink" xfId="5962" builtinId="8" hidden="1"/>
    <cellStyle name="Hyperlink" xfId="5964" builtinId="8" hidden="1"/>
    <cellStyle name="Hyperlink" xfId="5966" builtinId="8" hidden="1"/>
    <cellStyle name="Hyperlink" xfId="5968" builtinId="8" hidden="1"/>
    <cellStyle name="Hyperlink" xfId="5970" builtinId="8" hidden="1"/>
    <cellStyle name="Hyperlink" xfId="5972" builtinId="8" hidden="1"/>
    <cellStyle name="Hyperlink" xfId="5974" builtinId="8" hidden="1"/>
    <cellStyle name="Hyperlink" xfId="5976" builtinId="8" hidden="1"/>
    <cellStyle name="Hyperlink" xfId="5978" builtinId="8" hidden="1"/>
    <cellStyle name="Hyperlink" xfId="5980" builtinId="8" hidden="1"/>
    <cellStyle name="Hyperlink" xfId="5982" builtinId="8" hidden="1"/>
    <cellStyle name="Hyperlink" xfId="5984" builtinId="8" hidden="1"/>
    <cellStyle name="Hyperlink" xfId="5986" builtinId="8" hidden="1"/>
    <cellStyle name="Hyperlink" xfId="5988" builtinId="8" hidden="1"/>
    <cellStyle name="Hyperlink" xfId="5990" builtinId="8" hidden="1"/>
    <cellStyle name="Hyperlink" xfId="5992" builtinId="8" hidden="1"/>
    <cellStyle name="Hyperlink" xfId="5994" builtinId="8" hidden="1"/>
    <cellStyle name="Hyperlink" xfId="5996" builtinId="8" hidden="1"/>
    <cellStyle name="Hyperlink" xfId="5998" builtinId="8" hidden="1"/>
    <cellStyle name="Hyperlink" xfId="6000" builtinId="8" hidden="1"/>
    <cellStyle name="Hyperlink" xfId="6002" builtinId="8" hidden="1"/>
    <cellStyle name="Hyperlink" xfId="6004" builtinId="8" hidden="1"/>
    <cellStyle name="Hyperlink" xfId="6006" builtinId="8" hidden="1"/>
    <cellStyle name="Hyperlink" xfId="6008" builtinId="8" hidden="1"/>
    <cellStyle name="Hyperlink" xfId="6010" builtinId="8" hidden="1"/>
    <cellStyle name="Hyperlink" xfId="6012" builtinId="8" hidden="1"/>
    <cellStyle name="Hyperlink" xfId="6014" builtinId="8" hidden="1"/>
    <cellStyle name="Hyperlink" xfId="6016" builtinId="8" hidden="1"/>
    <cellStyle name="Hyperlink" xfId="6018" builtinId="8" hidden="1"/>
    <cellStyle name="Hyperlink" xfId="6020" builtinId="8" hidden="1"/>
    <cellStyle name="Hyperlink" xfId="6022" builtinId="8" hidden="1"/>
    <cellStyle name="Hyperlink" xfId="6024" builtinId="8" hidden="1"/>
    <cellStyle name="Hyperlink" xfId="6026" builtinId="8" hidden="1"/>
    <cellStyle name="Hyperlink" xfId="6028" builtinId="8" hidden="1"/>
    <cellStyle name="Hyperlink" xfId="6030" builtinId="8" hidden="1"/>
    <cellStyle name="Hyperlink" xfId="6032" builtinId="8" hidden="1"/>
    <cellStyle name="Hyperlink" xfId="6034" builtinId="8" hidden="1"/>
    <cellStyle name="Hyperlink" xfId="6036" builtinId="8" hidden="1"/>
    <cellStyle name="Hyperlink" xfId="6038" builtinId="8" hidden="1"/>
    <cellStyle name="Hyperlink" xfId="6040" builtinId="8" hidden="1"/>
    <cellStyle name="Hyperlink" xfId="6042" builtinId="8" hidden="1"/>
    <cellStyle name="Hyperlink" xfId="6044" builtinId="8" hidden="1"/>
    <cellStyle name="Hyperlink" xfId="6046" builtinId="8" hidden="1"/>
    <cellStyle name="Hyperlink" xfId="6048" builtinId="8" hidden="1"/>
    <cellStyle name="Hyperlink" xfId="6050" builtinId="8" hidden="1"/>
    <cellStyle name="Hyperlink" xfId="6052" builtinId="8" hidden="1"/>
    <cellStyle name="Hyperlink" xfId="6054" builtinId="8" hidden="1"/>
    <cellStyle name="Hyperlink" xfId="6056" builtinId="8" hidden="1"/>
    <cellStyle name="Hyperlink" xfId="6058" builtinId="8" hidden="1"/>
    <cellStyle name="Hyperlink" xfId="6060" builtinId="8" hidden="1"/>
    <cellStyle name="Hyperlink" xfId="6062" builtinId="8" hidden="1"/>
    <cellStyle name="Hyperlink" xfId="6064" builtinId="8" hidden="1"/>
    <cellStyle name="Hyperlink" xfId="6066" builtinId="8" hidden="1"/>
    <cellStyle name="Hyperlink" xfId="6068" builtinId="8" hidden="1"/>
    <cellStyle name="Hyperlink" xfId="6070" builtinId="8" hidden="1"/>
    <cellStyle name="Hyperlink" xfId="6072" builtinId="8" hidden="1"/>
    <cellStyle name="Hyperlink" xfId="6074" builtinId="8" hidden="1"/>
    <cellStyle name="Hyperlink" xfId="6076" builtinId="8" hidden="1"/>
    <cellStyle name="Hyperlink" xfId="6078" builtinId="8" hidden="1"/>
    <cellStyle name="Hyperlink" xfId="6080" builtinId="8" hidden="1"/>
    <cellStyle name="Hyperlink" xfId="6082" builtinId="8" hidden="1"/>
    <cellStyle name="Hyperlink" xfId="6084" builtinId="8" hidden="1"/>
    <cellStyle name="Hyperlink" xfId="6086" builtinId="8" hidden="1"/>
    <cellStyle name="Hyperlink" xfId="6088" builtinId="8" hidden="1"/>
    <cellStyle name="Hyperlink" xfId="6090" builtinId="8" hidden="1"/>
    <cellStyle name="Hyperlink" xfId="6092" builtinId="8" hidden="1"/>
    <cellStyle name="Hyperlink" xfId="6094" builtinId="8" hidden="1"/>
    <cellStyle name="Hyperlink" xfId="6096" builtinId="8" hidden="1"/>
    <cellStyle name="Hyperlink" xfId="6098" builtinId="8" hidden="1"/>
    <cellStyle name="Hyperlink" xfId="6100" builtinId="8" hidden="1"/>
    <cellStyle name="Hyperlink" xfId="6102" builtinId="8" hidden="1"/>
    <cellStyle name="Hyperlink" xfId="6104" builtinId="8" hidden="1"/>
    <cellStyle name="Hyperlink" xfId="6106" builtinId="8" hidden="1"/>
    <cellStyle name="Hyperlink" xfId="6108" builtinId="8" hidden="1"/>
    <cellStyle name="Hyperlink" xfId="6110" builtinId="8" hidden="1"/>
    <cellStyle name="Hyperlink" xfId="6112" builtinId="8" hidden="1"/>
    <cellStyle name="Hyperlink" xfId="6114" builtinId="8" hidden="1"/>
    <cellStyle name="Hyperlink" xfId="6116" builtinId="8" hidden="1"/>
    <cellStyle name="Hyperlink" xfId="6118" builtinId="8" hidden="1"/>
    <cellStyle name="Hyperlink" xfId="6120" builtinId="8" hidden="1"/>
    <cellStyle name="Hyperlink" xfId="6122" builtinId="8" hidden="1"/>
    <cellStyle name="Hyperlink" xfId="6124" builtinId="8" hidden="1"/>
    <cellStyle name="Hyperlink" xfId="6126" builtinId="8" hidden="1"/>
    <cellStyle name="Hyperlink" xfId="6128" builtinId="8" hidden="1"/>
    <cellStyle name="Hyperlink" xfId="6130" builtinId="8" hidden="1"/>
    <cellStyle name="Hyperlink" xfId="6132" builtinId="8" hidden="1"/>
    <cellStyle name="Hyperlink" xfId="6134" builtinId="8" hidden="1"/>
    <cellStyle name="Hyperlink" xfId="6136" builtinId="8" hidden="1"/>
    <cellStyle name="Hyperlink" xfId="6138" builtinId="8" hidden="1"/>
    <cellStyle name="Hyperlink" xfId="6140" builtinId="8" hidden="1"/>
    <cellStyle name="Hyperlink" xfId="6142" builtinId="8" hidden="1"/>
    <cellStyle name="Hyperlink" xfId="6144" builtinId="8" hidden="1"/>
    <cellStyle name="Hyperlink" xfId="6146" builtinId="8" hidden="1"/>
    <cellStyle name="Hyperlink" xfId="6148" builtinId="8" hidden="1"/>
    <cellStyle name="Hyperlink" xfId="6150" builtinId="8" hidden="1"/>
    <cellStyle name="Hyperlink" xfId="6152" builtinId="8" hidden="1"/>
    <cellStyle name="Hyperlink" xfId="6154" builtinId="8" hidden="1"/>
    <cellStyle name="Hyperlink" xfId="6156" builtinId="8" hidden="1"/>
    <cellStyle name="Hyperlink" xfId="6158" builtinId="8" hidden="1"/>
    <cellStyle name="Hyperlink" xfId="6160" builtinId="8" hidden="1"/>
    <cellStyle name="Hyperlink" xfId="6162" builtinId="8" hidden="1"/>
    <cellStyle name="Hyperlink" xfId="6164" builtinId="8" hidden="1"/>
    <cellStyle name="Hyperlink" xfId="6166" builtinId="8" hidden="1"/>
    <cellStyle name="Hyperlink" xfId="6168" builtinId="8" hidden="1"/>
    <cellStyle name="Hyperlink" xfId="6170" builtinId="8" hidden="1"/>
    <cellStyle name="Hyperlink" xfId="6172" builtinId="8" hidden="1"/>
    <cellStyle name="Hyperlink" xfId="6174" builtinId="8" hidden="1"/>
    <cellStyle name="Hyperlink" xfId="6176" builtinId="8" hidden="1"/>
    <cellStyle name="Hyperlink" xfId="6178" builtinId="8" hidden="1"/>
    <cellStyle name="Hyperlink" xfId="6180" builtinId="8" hidden="1"/>
    <cellStyle name="Hyperlink" xfId="6182" builtinId="8" hidden="1"/>
    <cellStyle name="Hyperlink" xfId="6184" builtinId="8" hidden="1"/>
    <cellStyle name="Hyperlink" xfId="6186" builtinId="8" hidden="1"/>
    <cellStyle name="Hyperlink" xfId="6188" builtinId="8" hidden="1"/>
    <cellStyle name="Hyperlink" xfId="6190" builtinId="8" hidden="1"/>
    <cellStyle name="Hyperlink" xfId="6192" builtinId="8" hidden="1"/>
    <cellStyle name="Hyperlink" xfId="6194" builtinId="8" hidden="1"/>
    <cellStyle name="Hyperlink" xfId="6196" builtinId="8" hidden="1"/>
    <cellStyle name="Hyperlink" xfId="6198" builtinId="8" hidden="1"/>
    <cellStyle name="Hyperlink" xfId="6200" builtinId="8" hidden="1"/>
    <cellStyle name="Hyperlink" xfId="6202" builtinId="8" hidden="1"/>
    <cellStyle name="Hyperlink" xfId="6204" builtinId="8" hidden="1"/>
    <cellStyle name="Hyperlink" xfId="6206" builtinId="8" hidden="1"/>
    <cellStyle name="Hyperlink" xfId="6208" builtinId="8" hidden="1"/>
    <cellStyle name="Hyperlink" xfId="6210" builtinId="8" hidden="1"/>
    <cellStyle name="Hyperlink" xfId="6212" builtinId="8" hidden="1"/>
    <cellStyle name="Hyperlink" xfId="6214" builtinId="8" hidden="1"/>
    <cellStyle name="Hyperlink" xfId="6216" builtinId="8" hidden="1"/>
    <cellStyle name="Hyperlink" xfId="6218" builtinId="8" hidden="1"/>
    <cellStyle name="Hyperlink" xfId="6220" builtinId="8" hidden="1"/>
    <cellStyle name="Hyperlink" xfId="6222" builtinId="8" hidden="1"/>
    <cellStyle name="Hyperlink" xfId="6224" builtinId="8" hidden="1"/>
    <cellStyle name="Hyperlink" xfId="6226" builtinId="8" hidden="1"/>
    <cellStyle name="Hyperlink" xfId="6228" builtinId="8" hidden="1"/>
    <cellStyle name="Hyperlink" xfId="6230" builtinId="8" hidden="1"/>
    <cellStyle name="Hyperlink" xfId="6232" builtinId="8" hidden="1"/>
    <cellStyle name="Hyperlink" xfId="6234" builtinId="8" hidden="1"/>
    <cellStyle name="Hyperlink" xfId="6236" builtinId="8" hidden="1"/>
    <cellStyle name="Hyperlink" xfId="6238" builtinId="8" hidden="1"/>
    <cellStyle name="Hyperlink" xfId="6240" builtinId="8" hidden="1"/>
    <cellStyle name="Hyperlink" xfId="6242" builtinId="8" hidden="1"/>
    <cellStyle name="Hyperlink" xfId="6244" builtinId="8" hidden="1"/>
    <cellStyle name="Hyperlink" xfId="6246" builtinId="8" hidden="1"/>
    <cellStyle name="Hyperlink" xfId="6248" builtinId="8" hidden="1"/>
    <cellStyle name="Hyperlink" xfId="6250" builtinId="8" hidden="1"/>
    <cellStyle name="Hyperlink" xfId="6252" builtinId="8" hidden="1"/>
    <cellStyle name="Hyperlink" xfId="6254" builtinId="8" hidden="1"/>
    <cellStyle name="Hyperlink" xfId="6256" builtinId="8" hidden="1"/>
    <cellStyle name="Hyperlink" xfId="6258" builtinId="8" hidden="1"/>
    <cellStyle name="Hyperlink" xfId="6260" builtinId="8" hidden="1"/>
    <cellStyle name="Hyperlink" xfId="6262" builtinId="8" hidden="1"/>
    <cellStyle name="Hyperlink" xfId="6264" builtinId="8" hidden="1"/>
    <cellStyle name="Hyperlink" xfId="6266" builtinId="8" hidden="1"/>
    <cellStyle name="Hyperlink" xfId="6268" builtinId="8" hidden="1"/>
    <cellStyle name="Hyperlink" xfId="6270" builtinId="8" hidden="1"/>
    <cellStyle name="Hyperlink" xfId="6272" builtinId="8" hidden="1"/>
    <cellStyle name="Hyperlink" xfId="6274" builtinId="8" hidden="1"/>
    <cellStyle name="Hyperlink" xfId="6276" builtinId="8" hidden="1"/>
    <cellStyle name="Hyperlink" xfId="6278" builtinId="8" hidden="1"/>
    <cellStyle name="Hyperlink" xfId="6280" builtinId="8" hidden="1"/>
    <cellStyle name="Hyperlink" xfId="6282" builtinId="8" hidden="1"/>
    <cellStyle name="Hyperlink" xfId="6284" builtinId="8" hidden="1"/>
    <cellStyle name="Hyperlink" xfId="6286" builtinId="8" hidden="1"/>
    <cellStyle name="Hyperlink" xfId="6288" builtinId="8" hidden="1"/>
    <cellStyle name="Hyperlink" xfId="6290" builtinId="8" hidden="1"/>
    <cellStyle name="Hyperlink" xfId="6292" builtinId="8" hidden="1"/>
    <cellStyle name="Hyperlink" xfId="6294" builtinId="8" hidden="1"/>
    <cellStyle name="Hyperlink" xfId="6296" builtinId="8" hidden="1"/>
    <cellStyle name="Hyperlink" xfId="6298" builtinId="8" hidden="1"/>
    <cellStyle name="Hyperlink" xfId="6300" builtinId="8" hidden="1"/>
    <cellStyle name="Hyperlink" xfId="6302" builtinId="8" hidden="1"/>
    <cellStyle name="Hyperlink" xfId="6304" builtinId="8" hidden="1"/>
    <cellStyle name="Hyperlink" xfId="6306" builtinId="8" hidden="1"/>
    <cellStyle name="Hyperlink" xfId="6308" builtinId="8" hidden="1"/>
    <cellStyle name="Hyperlink" xfId="6310" builtinId="8" hidden="1"/>
    <cellStyle name="Hyperlink" xfId="6312" builtinId="8" hidden="1"/>
    <cellStyle name="Hyperlink" xfId="6314" builtinId="8" hidden="1"/>
    <cellStyle name="Hyperlink" xfId="6316" builtinId="8" hidden="1"/>
    <cellStyle name="Hyperlink" xfId="6318" builtinId="8" hidden="1"/>
    <cellStyle name="Hyperlink" xfId="6320" builtinId="8" hidden="1"/>
    <cellStyle name="Hyperlink" xfId="6322" builtinId="8" hidden="1"/>
    <cellStyle name="Hyperlink" xfId="6324" builtinId="8" hidden="1"/>
    <cellStyle name="Hyperlink" xfId="6326" builtinId="8" hidden="1"/>
    <cellStyle name="Hyperlink" xfId="6328" builtinId="8" hidden="1"/>
    <cellStyle name="Hyperlink" xfId="6330" builtinId="8" hidden="1"/>
    <cellStyle name="Hyperlink" xfId="6332" builtinId="8" hidden="1"/>
    <cellStyle name="Hyperlink" xfId="6334" builtinId="8" hidden="1"/>
    <cellStyle name="Hyperlink" xfId="6336" builtinId="8" hidden="1"/>
    <cellStyle name="Hyperlink" xfId="6338" builtinId="8" hidden="1"/>
    <cellStyle name="Hyperlink" xfId="6340" builtinId="8" hidden="1"/>
    <cellStyle name="Hyperlink" xfId="6342" builtinId="8" hidden="1"/>
    <cellStyle name="Hyperlink" xfId="6344" builtinId="8" hidden="1"/>
    <cellStyle name="Hyperlink" xfId="6346" builtinId="8" hidden="1"/>
    <cellStyle name="Hyperlink" xfId="6348" builtinId="8" hidden="1"/>
    <cellStyle name="Hyperlink" xfId="6350" builtinId="8" hidden="1"/>
    <cellStyle name="Hyperlink" xfId="6352" builtinId="8" hidden="1"/>
    <cellStyle name="Hyperlink" xfId="6354" builtinId="8" hidden="1"/>
    <cellStyle name="Hyperlink" xfId="6356" builtinId="8" hidden="1"/>
    <cellStyle name="Hyperlink" xfId="6358" builtinId="8" hidden="1"/>
    <cellStyle name="Hyperlink" xfId="6360" builtinId="8" hidden="1"/>
    <cellStyle name="Hyperlink" xfId="6362" builtinId="8" hidden="1"/>
    <cellStyle name="Hyperlink" xfId="6364" builtinId="8" hidden="1"/>
    <cellStyle name="Hyperlink" xfId="6366" builtinId="8" hidden="1"/>
    <cellStyle name="Hyperlink" xfId="6368" builtinId="8" hidden="1"/>
    <cellStyle name="Hyperlink" xfId="6370" builtinId="8" hidden="1"/>
    <cellStyle name="Hyperlink" xfId="6372" builtinId="8" hidden="1"/>
    <cellStyle name="Hyperlink" xfId="6374" builtinId="8" hidden="1"/>
    <cellStyle name="Hyperlink" xfId="6376" builtinId="8" hidden="1"/>
    <cellStyle name="Hyperlink" xfId="6378" builtinId="8" hidden="1"/>
    <cellStyle name="Hyperlink" xfId="6380" builtinId="8" hidden="1"/>
    <cellStyle name="Hyperlink" xfId="6382" builtinId="8" hidden="1"/>
    <cellStyle name="Hyperlink" xfId="6384" builtinId="8" hidden="1"/>
    <cellStyle name="Hyperlink" xfId="6386" builtinId="8" hidden="1"/>
    <cellStyle name="Hyperlink" xfId="6388" builtinId="8" hidden="1"/>
    <cellStyle name="Hyperlink" xfId="6390" builtinId="8" hidden="1"/>
    <cellStyle name="Hyperlink" xfId="6392" builtinId="8" hidden="1"/>
    <cellStyle name="Hyperlink" xfId="6394" builtinId="8" hidden="1"/>
    <cellStyle name="Hyperlink" xfId="6396" builtinId="8" hidden="1"/>
    <cellStyle name="Hyperlink" xfId="6398" builtinId="8" hidden="1"/>
    <cellStyle name="Hyperlink" xfId="6400" builtinId="8" hidden="1"/>
    <cellStyle name="Hyperlink" xfId="6402" builtinId="8" hidden="1"/>
    <cellStyle name="Hyperlink" xfId="6404" builtinId="8" hidden="1"/>
    <cellStyle name="Hyperlink" xfId="6406" builtinId="8" hidden="1"/>
    <cellStyle name="Hyperlink" xfId="6408" builtinId="8" hidden="1"/>
    <cellStyle name="Hyperlink" xfId="6410" builtinId="8" hidden="1"/>
    <cellStyle name="Hyperlink" xfId="6412" builtinId="8" hidden="1"/>
    <cellStyle name="Hyperlink" xfId="6414" builtinId="8" hidden="1"/>
    <cellStyle name="Hyperlink" xfId="6416" builtinId="8" hidden="1"/>
    <cellStyle name="Hyperlink" xfId="6418" builtinId="8" hidden="1"/>
    <cellStyle name="Hyperlink" xfId="6420" builtinId="8" hidden="1"/>
    <cellStyle name="Hyperlink" xfId="6422" builtinId="8" hidden="1"/>
    <cellStyle name="Hyperlink" xfId="6424" builtinId="8" hidden="1"/>
    <cellStyle name="Hyperlink" xfId="6426" builtinId="8" hidden="1"/>
    <cellStyle name="Hyperlink" xfId="6428" builtinId="8" hidden="1"/>
    <cellStyle name="Hyperlink" xfId="6430" builtinId="8" hidden="1"/>
    <cellStyle name="Hyperlink" xfId="6432" builtinId="8" hidden="1"/>
    <cellStyle name="Hyperlink" xfId="6434" builtinId="8" hidden="1"/>
    <cellStyle name="Hyperlink" xfId="6436" builtinId="8" hidden="1"/>
    <cellStyle name="Hyperlink" xfId="6438" builtinId="8" hidden="1"/>
    <cellStyle name="Hyperlink" xfId="6440" builtinId="8" hidden="1"/>
    <cellStyle name="Hyperlink" xfId="6442" builtinId="8" hidden="1"/>
    <cellStyle name="Hyperlink" xfId="6444" builtinId="8" hidden="1"/>
    <cellStyle name="Hyperlink" xfId="6446" builtinId="8" hidden="1"/>
    <cellStyle name="Hyperlink" xfId="6448" builtinId="8" hidden="1"/>
    <cellStyle name="Hyperlink" xfId="6450" builtinId="8" hidden="1"/>
    <cellStyle name="Hyperlink" xfId="6452" builtinId="8" hidden="1"/>
    <cellStyle name="Hyperlink" xfId="6454" builtinId="8" hidden="1"/>
    <cellStyle name="Hyperlink" xfId="6456" builtinId="8" hidden="1"/>
    <cellStyle name="Hyperlink" xfId="6458" builtinId="8" hidden="1"/>
    <cellStyle name="Hyperlink" xfId="6460" builtinId="8" hidden="1"/>
    <cellStyle name="Hyperlink" xfId="6462" builtinId="8" hidden="1"/>
    <cellStyle name="Hyperlink" xfId="6464" builtinId="8" hidden="1"/>
    <cellStyle name="Hyperlink" xfId="6466" builtinId="8" hidden="1"/>
    <cellStyle name="Hyperlink" xfId="6468" builtinId="8" hidden="1"/>
    <cellStyle name="Hyperlink" xfId="6470" builtinId="8" hidden="1"/>
    <cellStyle name="Hyperlink" xfId="6472" builtinId="8" hidden="1"/>
    <cellStyle name="Hyperlink" xfId="6474" builtinId="8" hidden="1"/>
    <cellStyle name="Hyperlink" xfId="6476" builtinId="8" hidden="1"/>
    <cellStyle name="Hyperlink" xfId="6478" builtinId="8" hidden="1"/>
    <cellStyle name="Hyperlink" xfId="6480" builtinId="8" hidden="1"/>
    <cellStyle name="Hyperlink" xfId="6482" builtinId="8" hidden="1"/>
    <cellStyle name="Hyperlink" xfId="6484" builtinId="8" hidden="1"/>
    <cellStyle name="Hyperlink" xfId="6486" builtinId="8" hidden="1"/>
    <cellStyle name="Hyperlink" xfId="6488" builtinId="8" hidden="1"/>
    <cellStyle name="Hyperlink" xfId="6490" builtinId="8" hidden="1"/>
    <cellStyle name="Hyperlink" xfId="6492" builtinId="8" hidden="1"/>
    <cellStyle name="Hyperlink" xfId="6494" builtinId="8" hidden="1"/>
    <cellStyle name="Hyperlink" xfId="6496" builtinId="8" hidden="1"/>
    <cellStyle name="Hyperlink" xfId="6498" builtinId="8" hidden="1"/>
    <cellStyle name="Hyperlink" xfId="6500" builtinId="8" hidden="1"/>
    <cellStyle name="Hyperlink" xfId="6502" builtinId="8" hidden="1"/>
    <cellStyle name="Hyperlink" xfId="6504" builtinId="8" hidden="1"/>
    <cellStyle name="Hyperlink" xfId="6506" builtinId="8" hidden="1"/>
    <cellStyle name="Hyperlink" xfId="6508" builtinId="8" hidden="1"/>
    <cellStyle name="Hyperlink" xfId="6510" builtinId="8" hidden="1"/>
    <cellStyle name="Hyperlink" xfId="6512" builtinId="8" hidden="1"/>
    <cellStyle name="Hyperlink" xfId="6514" builtinId="8" hidden="1"/>
    <cellStyle name="Hyperlink" xfId="6516" builtinId="8" hidden="1"/>
    <cellStyle name="Hyperlink" xfId="6518" builtinId="8" hidden="1"/>
    <cellStyle name="Hyperlink" xfId="6520" builtinId="8" hidden="1"/>
    <cellStyle name="Hyperlink" xfId="6522" builtinId="8" hidden="1"/>
    <cellStyle name="Hyperlink" xfId="6524" builtinId="8" hidden="1"/>
    <cellStyle name="Hyperlink" xfId="6526" builtinId="8" hidden="1"/>
    <cellStyle name="Hyperlink" xfId="6528" builtinId="8" hidden="1"/>
    <cellStyle name="Hyperlink" xfId="6530" builtinId="8" hidden="1"/>
    <cellStyle name="Hyperlink" xfId="6532" builtinId="8" hidden="1"/>
    <cellStyle name="Hyperlink" xfId="6534" builtinId="8" hidden="1"/>
    <cellStyle name="Hyperlink" xfId="6536" builtinId="8" hidden="1"/>
    <cellStyle name="Hyperlink" xfId="6538" builtinId="8" hidden="1"/>
    <cellStyle name="Hyperlink" xfId="6540" builtinId="8" hidden="1"/>
    <cellStyle name="Hyperlink" xfId="6542" builtinId="8" hidden="1"/>
    <cellStyle name="Hyperlink" xfId="6544" builtinId="8" hidden="1"/>
    <cellStyle name="Hyperlink" xfId="6546" builtinId="8" hidden="1"/>
    <cellStyle name="Hyperlink" xfId="6548" builtinId="8" hidden="1"/>
    <cellStyle name="Hyperlink" xfId="6550" builtinId="8" hidden="1"/>
    <cellStyle name="Hyperlink" xfId="6552" builtinId="8" hidden="1"/>
    <cellStyle name="Input" xfId="9" builtinId="20" customBuiltin="1"/>
    <cellStyle name="Linked Cell" xfId="12" builtinId="24" customBuiltin="1"/>
    <cellStyle name="Neutral" xfId="8" builtinId="28" customBuiltin="1"/>
    <cellStyle name="Normal" xfId="0" builtinId="0"/>
    <cellStyle name="Normal 2" xfId="43"/>
    <cellStyle name="Normal 3" xfId="1119"/>
    <cellStyle name="Normal 4" xfId="44"/>
    <cellStyle name="Normal_CRSL_NotesRefDocs.xls" xfId="42"/>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
    <dxf>
      <alignment horizontal="left" vertical="bottom" textRotation="0" wrapText="1" indent="0" justifyLastLine="0" shrinkToFit="0" readingOrder="0"/>
      <protection locked="0" hidden="0"/>
    </dxf>
    <dxf>
      <font>
        <strike val="0"/>
        <outline val="0"/>
        <shadow val="0"/>
        <u val="none"/>
        <vertAlign val="baseline"/>
        <sz val="12"/>
        <color rgb="FF000090"/>
        <name val="Calibri"/>
        <scheme val="minor"/>
      </font>
      <alignment horizontal="general" vertical="bottom" textRotation="0" wrapText="1" indent="0" justifyLastLine="0" shrinkToFit="0" readingOrder="0"/>
      <border diagonalUp="0" diagonalDown="0" outline="0">
        <left style="thin">
          <color auto="1"/>
        </left>
        <right/>
        <top/>
        <bottom/>
      </border>
    </dxf>
    <dxf>
      <font>
        <strike val="0"/>
        <outline val="0"/>
        <shadow val="0"/>
        <u val="none"/>
        <vertAlign val="baseline"/>
        <sz val="12"/>
        <color rgb="FF000090"/>
        <name val="Calibri"/>
        <scheme val="minor"/>
      </font>
      <alignment horizontal="center" vertical="bottom" textRotation="0" wrapText="0" indent="0" justifyLastLine="0" shrinkToFit="0" readingOrder="0"/>
      <border diagonalUp="0" diagonalDown="0" outline="0">
        <left style="thin">
          <color auto="1"/>
        </left>
        <right style="thin">
          <color auto="1"/>
        </right>
        <top/>
        <bottom/>
      </border>
    </dxf>
    <dxf>
      <font>
        <strike val="0"/>
        <outline val="0"/>
        <shadow val="0"/>
        <u val="none"/>
        <vertAlign val="baseline"/>
        <sz val="12"/>
        <color rgb="FF000090"/>
        <name val="Calibri"/>
        <scheme val="minor"/>
      </font>
      <alignment horizontal="center" vertical="center" textRotation="0" wrapText="0" indent="0" justifyLastLine="0" shrinkToFit="0" readingOrder="0"/>
      <border diagonalUp="0" diagonalDown="0" outline="0">
        <left style="thin">
          <color auto="1"/>
        </left>
        <right style="thin">
          <color auto="1"/>
        </right>
        <top/>
        <bottom/>
      </border>
    </dxf>
    <dxf>
      <font>
        <strike val="0"/>
        <outline val="0"/>
        <shadow val="0"/>
        <u val="none"/>
        <vertAlign val="baseline"/>
        <sz val="12"/>
        <color rgb="FF000090"/>
        <name val="Calibri"/>
        <scheme val="minor"/>
      </font>
      <alignment horizontal="general" vertical="top" textRotation="0" wrapText="1" indent="0" justifyLastLine="0" shrinkToFit="0" readingOrder="0"/>
      <border diagonalUp="0" diagonalDown="0" outline="0">
        <left/>
        <right style="thin">
          <color auto="1"/>
        </right>
        <top/>
        <bottom/>
      </border>
    </dxf>
    <dxf>
      <border outline="0">
        <bottom style="medium">
          <color auto="1"/>
        </bottom>
      </border>
    </dxf>
    <dxf>
      <font>
        <strike val="0"/>
        <outline val="0"/>
        <shadow val="0"/>
        <u val="none"/>
        <vertAlign val="baseline"/>
        <color auto="1"/>
        <name val="Calibri"/>
        <scheme val="minor"/>
      </font>
      <numFmt numFmtId="0" formatCode="General"/>
      <alignment horizontal="left" vertical="bottom" textRotation="0" wrapText="1" indent="0" justifyLastLine="0" shrinkToFit="0" readingOrder="0"/>
      <border diagonalUp="0" diagonalDown="0" outline="0">
        <left style="medium">
          <color auto="1"/>
        </left>
        <right style="medium">
          <color auto="1"/>
        </right>
        <top style="thin">
          <color auto="1"/>
        </top>
        <bottom style="thin">
          <color auto="1"/>
        </bottom>
      </border>
      <protection locked="0" hidden="0"/>
    </dxf>
    <dxf>
      <font>
        <strike val="0"/>
        <outline val="0"/>
        <shadow val="0"/>
        <u val="none"/>
        <vertAlign val="baseline"/>
        <sz val="12"/>
        <color rgb="FF000090"/>
        <name val="Calibri"/>
        <scheme val="minor"/>
      </font>
      <fill>
        <patternFill patternType="solid">
          <fgColor indexed="64"/>
          <bgColor theme="0" tint="-4.9989318521683403E-2"/>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strike val="0"/>
        <outline val="0"/>
        <shadow val="0"/>
        <u val="none"/>
        <vertAlign val="baseline"/>
        <sz val="12"/>
        <color rgb="FF000090"/>
        <name val="Calibri"/>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strike val="0"/>
        <outline val="0"/>
        <shadow val="0"/>
        <u val="none"/>
        <vertAlign val="baseline"/>
        <sz val="12"/>
        <color rgb="FF000090"/>
        <name val="Calibri"/>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strike val="0"/>
        <outline val="0"/>
        <shadow val="0"/>
        <u val="none"/>
        <vertAlign val="baseline"/>
        <sz val="12"/>
        <color rgb="FF000090"/>
        <name val="Calibri"/>
        <scheme val="minor"/>
      </font>
      <fill>
        <patternFill patternType="solid">
          <fgColor indexed="64"/>
          <bgColor theme="0" tint="-4.9989318521683403E-2"/>
        </patternFill>
      </fill>
      <alignment horizontal="general" vertical="top" textRotation="0" wrapText="1" indent="0" justifyLastLine="0" shrinkToFit="0" readingOrder="0"/>
      <border diagonalUp="0" diagonalDown="0" outline="0">
        <left style="medium">
          <color indexed="64"/>
        </left>
        <right style="thin">
          <color auto="1"/>
        </right>
        <top style="thin">
          <color auto="1"/>
        </top>
        <bottom style="thin">
          <color auto="1"/>
        </bottom>
      </border>
    </dxf>
    <dxf>
      <border outline="0">
        <bottom style="medium">
          <color auto="1"/>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2.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0</xdr:colOff>
      <xdr:row>40</xdr:row>
      <xdr:rowOff>95250</xdr:rowOff>
    </xdr:to>
    <xdr:sp macro="" textlink="">
      <xdr:nvSpPr>
        <xdr:cNvPr id="2" name="Rectangle 1"/>
        <xdr:cNvSpPr/>
      </xdr:nvSpPr>
      <xdr:spPr>
        <a:xfrm>
          <a:off x="0" y="0"/>
          <a:ext cx="12217400" cy="6534150"/>
        </a:xfrm>
        <a:prstGeom prst="rect">
          <a:avLst/>
        </a:prstGeom>
        <a:noFill/>
      </xdr:spPr>
      <xdr:txBody>
        <a:bodyPr wrap="square" lIns="91440" tIns="45720" rIns="91440" bIns="45720" anchor="ctr" anchorCtr="0">
          <a:noAutofit/>
          <a:scene3d>
            <a:camera prst="orthographicFront">
              <a:rot lat="0" lon="0" rev="1800000"/>
            </a:camera>
            <a:lightRig rig="threePt" dir="t"/>
          </a:scene3d>
        </a:bodyPr>
        <a:lstStyle/>
        <a:p>
          <a:pPr algn="ctr"/>
          <a:r>
            <a:rPr lang="en-US" sz="9600" b="1" cap="none" spc="100" baseline="0">
              <a:ln w="13500">
                <a:solidFill>
                  <a:schemeClr val="accent1">
                    <a:shade val="2500"/>
                    <a:alpha val="6500"/>
                  </a:schemeClr>
                </a:solidFill>
                <a:prstDash val="solid"/>
              </a:ln>
              <a:solidFill>
                <a:schemeClr val="accent1">
                  <a:tint val="3000"/>
                  <a:alpha val="10000"/>
                </a:schemeClr>
              </a:solidFill>
              <a:effectLst>
                <a:innerShdw blurRad="50900" dist="38500" dir="13500000">
                  <a:srgbClr val="000000">
                    <a:alpha val="60000"/>
                  </a:srgbClr>
                </a:innerShdw>
              </a:effectLst>
            </a:rPr>
            <a:t>Inform</a:t>
          </a:r>
        </a:p>
        <a:p>
          <a:pPr algn="ctr"/>
          <a:endParaRPr lang="en-US" sz="9600" b="1" cap="none" spc="100" baseline="0">
            <a:ln w="13500">
              <a:solidFill>
                <a:schemeClr val="accent1">
                  <a:shade val="2500"/>
                  <a:alpha val="6500"/>
                </a:schemeClr>
              </a:solidFill>
              <a:prstDash val="solid"/>
            </a:ln>
            <a:solidFill>
              <a:schemeClr val="accent1">
                <a:tint val="3000"/>
                <a:alpha val="10000"/>
              </a:schemeClr>
            </a:solidFill>
            <a:effectLst>
              <a:innerShdw blurRad="50900" dist="38500" dir="13500000">
                <a:srgbClr val="000000">
                  <a:alpha val="60000"/>
                </a:srgbClr>
              </a:innerShdw>
            </a:effectLst>
          </a:endParaRPr>
        </a:p>
        <a:p>
          <a:pPr algn="ctr"/>
          <a:r>
            <a:rPr lang="en-US" sz="9600" b="1" cap="none" spc="100" baseline="0">
              <a:ln w="13500">
                <a:solidFill>
                  <a:schemeClr val="accent1">
                    <a:shade val="2500"/>
                    <a:alpha val="6500"/>
                  </a:schemeClr>
                </a:solidFill>
                <a:prstDash val="solid"/>
              </a:ln>
              <a:solidFill>
                <a:schemeClr val="accent1">
                  <a:tint val="3000"/>
                  <a:alpha val="10000"/>
                </a:schemeClr>
              </a:solidFill>
              <a:effectLst>
                <a:innerShdw blurRad="50900" dist="38500" dir="13500000">
                  <a:srgbClr val="000000">
                    <a:alpha val="60000"/>
                  </a:srgbClr>
                </a:innerShdw>
              </a:effectLst>
            </a:rPr>
            <a:t>ative</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254000</xdr:colOff>
          <xdr:row>40</xdr:row>
          <xdr:rowOff>114300</xdr:rowOff>
        </xdr:from>
        <xdr:to>
          <xdr:col>0</xdr:col>
          <xdr:colOff>2514600</xdr:colOff>
          <xdr:row>43</xdr:row>
          <xdr:rowOff>25400</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Export PICS to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279400</xdr:colOff>
          <xdr:row>44</xdr:row>
          <xdr:rowOff>101600</xdr:rowOff>
        </xdr:from>
        <xdr:to>
          <xdr:col>0</xdr:col>
          <xdr:colOff>2501900</xdr:colOff>
          <xdr:row>47</xdr:row>
          <xdr:rowOff>38100</xdr:rowOff>
        </xdr:to>
        <xdr:sp macro="" textlink="">
          <xdr:nvSpPr>
            <xdr:cNvPr id="3080" name="Button 8" hidden="1">
              <a:extLst>
                <a:ext uri="{63B3BB69-23CF-44E3-9099-C40C66FF867C}">
                  <a14:compatExt spid="_x0000_s30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Export PIXIT to XML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pichon/Documents/AgileCast/CCC/CTS%20Tool/TRSL_1.0.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pichon/Downloads/PIXIT_Questionairre_v01.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Ref Docs &amp; Notes"/>
      <sheetName val="Test Case Categories"/>
      <sheetName val="Summary"/>
      <sheetName val="Server IOP"/>
      <sheetName val="Client IOP"/>
      <sheetName val="Client Protocol Conf"/>
      <sheetName val="Server Protocol Conf"/>
    </sheetNames>
    <sheetDataSet>
      <sheetData sheetId="0">
        <row r="4">
          <cell r="B4" t="str">
            <v>TRSL Effective Date:</v>
          </cell>
          <cell r="D4">
            <v>40926</v>
          </cell>
        </row>
      </sheetData>
      <sheetData sheetId="1"/>
      <sheetData sheetId="2"/>
      <sheetData sheetId="3"/>
      <sheetData sheetId="4"/>
      <sheetData sheetId="5">
        <row r="5">
          <cell r="G5" t="str">
            <v>A</v>
          </cell>
          <cell r="I5" t="str">
            <v>Optional</v>
          </cell>
        </row>
        <row r="6">
          <cell r="G6" t="str">
            <v>A</v>
          </cell>
          <cell r="I6" t="str">
            <v>Optional</v>
          </cell>
        </row>
        <row r="7">
          <cell r="G7" t="str">
            <v>A</v>
          </cell>
          <cell r="I7" t="str">
            <v>Conditional</v>
          </cell>
        </row>
        <row r="8">
          <cell r="G8" t="str">
            <v>A</v>
          </cell>
          <cell r="I8" t="str">
            <v>Conditional</v>
          </cell>
        </row>
        <row r="9">
          <cell r="G9" t="str">
            <v>A</v>
          </cell>
          <cell r="I9" t="str">
            <v>Conditional</v>
          </cell>
        </row>
        <row r="10">
          <cell r="G10" t="str">
            <v>A</v>
          </cell>
          <cell r="I10" t="str">
            <v>Optional</v>
          </cell>
        </row>
        <row r="11">
          <cell r="G11" t="str">
            <v>A</v>
          </cell>
          <cell r="I11" t="str">
            <v>Conditional</v>
          </cell>
        </row>
        <row r="12">
          <cell r="G12" t="str">
            <v>A</v>
          </cell>
          <cell r="I12" t="str">
            <v>Optional</v>
          </cell>
        </row>
        <row r="13">
          <cell r="G13" t="str">
            <v>A</v>
          </cell>
          <cell r="I13" t="str">
            <v>Conditional</v>
          </cell>
        </row>
        <row r="14">
          <cell r="G14" t="str">
            <v>A</v>
          </cell>
          <cell r="I14" t="str">
            <v>Optional</v>
          </cell>
        </row>
        <row r="15">
          <cell r="G15" t="str">
            <v>A</v>
          </cell>
          <cell r="I15" t="str">
            <v>Optional</v>
          </cell>
        </row>
        <row r="16">
          <cell r="G16" t="str">
            <v>A</v>
          </cell>
          <cell r="I16" t="str">
            <v>Optional</v>
          </cell>
        </row>
        <row r="17">
          <cell r="G17" t="str">
            <v>A</v>
          </cell>
          <cell r="I17" t="str">
            <v>Optional</v>
          </cell>
        </row>
        <row r="18">
          <cell r="G18" t="str">
            <v>A</v>
          </cell>
          <cell r="I18" t="str">
            <v>Optional</v>
          </cell>
        </row>
        <row r="19">
          <cell r="G19" t="str">
            <v>A</v>
          </cell>
          <cell r="I19" t="str">
            <v>Optional</v>
          </cell>
        </row>
        <row r="20">
          <cell r="G20" t="str">
            <v>A</v>
          </cell>
          <cell r="I20" t="str">
            <v>Optional</v>
          </cell>
        </row>
        <row r="21">
          <cell r="G21" t="str">
            <v>A</v>
          </cell>
          <cell r="I21" t="str">
            <v>Mandatory</v>
          </cell>
        </row>
        <row r="22">
          <cell r="G22" t="str">
            <v>D</v>
          </cell>
          <cell r="I22" t="str">
            <v>Optional</v>
          </cell>
        </row>
        <row r="23">
          <cell r="G23" t="str">
            <v>A</v>
          </cell>
          <cell r="I23" t="str">
            <v>Mandatory</v>
          </cell>
        </row>
        <row r="24">
          <cell r="G24" t="str">
            <v>A</v>
          </cell>
          <cell r="I24" t="str">
            <v>Mandatory</v>
          </cell>
        </row>
        <row r="25">
          <cell r="G25" t="str">
            <v>D</v>
          </cell>
          <cell r="I25" t="str">
            <v>Optional</v>
          </cell>
        </row>
        <row r="26">
          <cell r="G26" t="str">
            <v>D</v>
          </cell>
          <cell r="I26" t="str">
            <v>Optional</v>
          </cell>
        </row>
        <row r="27">
          <cell r="G27" t="str">
            <v>D</v>
          </cell>
          <cell r="I27" t="str">
            <v>Optional</v>
          </cell>
        </row>
        <row r="28">
          <cell r="G28" t="str">
            <v>D</v>
          </cell>
          <cell r="I28" t="str">
            <v>Optional</v>
          </cell>
        </row>
        <row r="29">
          <cell r="G29" t="str">
            <v>D</v>
          </cell>
          <cell r="I29" t="str">
            <v>Conditional</v>
          </cell>
        </row>
        <row r="30">
          <cell r="G30" t="str">
            <v>D</v>
          </cell>
          <cell r="I30" t="str">
            <v>Conditional</v>
          </cell>
        </row>
        <row r="31">
          <cell r="G31" t="str">
            <v>D</v>
          </cell>
          <cell r="I31" t="str">
            <v>Optional</v>
          </cell>
        </row>
        <row r="32">
          <cell r="G32" t="str">
            <v>D</v>
          </cell>
          <cell r="I32" t="str">
            <v>Optional</v>
          </cell>
        </row>
        <row r="33">
          <cell r="G33" t="str">
            <v>D</v>
          </cell>
          <cell r="I33" t="str">
            <v>Optional</v>
          </cell>
        </row>
        <row r="34">
          <cell r="G34" t="str">
            <v>D</v>
          </cell>
          <cell r="I34" t="str">
            <v>Optional</v>
          </cell>
        </row>
        <row r="35">
          <cell r="G35" t="str">
            <v>D</v>
          </cell>
          <cell r="I35" t="str">
            <v>Optional</v>
          </cell>
        </row>
        <row r="36">
          <cell r="G36" t="str">
            <v>D</v>
          </cell>
          <cell r="I36" t="str">
            <v>Optional</v>
          </cell>
        </row>
        <row r="37">
          <cell r="G37" t="str">
            <v>D</v>
          </cell>
          <cell r="I37" t="str">
            <v>Optional</v>
          </cell>
        </row>
        <row r="38">
          <cell r="G38" t="str">
            <v>D</v>
          </cell>
          <cell r="I38" t="str">
            <v>Optional</v>
          </cell>
        </row>
        <row r="39">
          <cell r="G39" t="str">
            <v>D</v>
          </cell>
          <cell r="I39" t="str">
            <v>Conditional</v>
          </cell>
        </row>
        <row r="40">
          <cell r="G40" t="str">
            <v>D</v>
          </cell>
          <cell r="I40" t="str">
            <v>Conditional</v>
          </cell>
        </row>
        <row r="41">
          <cell r="G41" t="str">
            <v>A</v>
          </cell>
          <cell r="I41" t="str">
            <v>Mandatory</v>
          </cell>
        </row>
        <row r="42">
          <cell r="G42" t="str">
            <v>A</v>
          </cell>
          <cell r="I42" t="str">
            <v>Mandatory</v>
          </cell>
        </row>
        <row r="43">
          <cell r="G43" t="str">
            <v>A</v>
          </cell>
          <cell r="I43" t="str">
            <v>Optional</v>
          </cell>
        </row>
        <row r="44">
          <cell r="G44" t="str">
            <v>A</v>
          </cell>
          <cell r="I44" t="str">
            <v>Mandatory</v>
          </cell>
        </row>
        <row r="45">
          <cell r="G45" t="str">
            <v>A</v>
          </cell>
          <cell r="I45" t="str">
            <v>Conditional</v>
          </cell>
        </row>
        <row r="46">
          <cell r="G46" t="str">
            <v>A</v>
          </cell>
          <cell r="I46" t="str">
            <v>Optional</v>
          </cell>
        </row>
        <row r="47">
          <cell r="G47" t="str">
            <v>A</v>
          </cell>
          <cell r="I47" t="str">
            <v>Conditional</v>
          </cell>
        </row>
        <row r="48">
          <cell r="G48" t="str">
            <v>A</v>
          </cell>
          <cell r="I48" t="str">
            <v>Optional</v>
          </cell>
        </row>
        <row r="49">
          <cell r="G49" t="str">
            <v>A</v>
          </cell>
          <cell r="I49" t="str">
            <v>Mandatory</v>
          </cell>
        </row>
        <row r="50">
          <cell r="G50" t="str">
            <v>A</v>
          </cell>
          <cell r="I50" t="str">
            <v>Mandatory</v>
          </cell>
        </row>
        <row r="51">
          <cell r="G51" t="str">
            <v>A</v>
          </cell>
          <cell r="I51" t="str">
            <v>Optional</v>
          </cell>
        </row>
        <row r="52">
          <cell r="G52" t="str">
            <v>A</v>
          </cell>
          <cell r="I52" t="str">
            <v>Conditional</v>
          </cell>
        </row>
        <row r="53">
          <cell r="G53" t="str">
            <v>A</v>
          </cell>
          <cell r="I53" t="str">
            <v>Optional</v>
          </cell>
        </row>
        <row r="54">
          <cell r="G54" t="str">
            <v>A</v>
          </cell>
          <cell r="I54" t="str">
            <v>Conditional</v>
          </cell>
        </row>
        <row r="55">
          <cell r="G55" t="str">
            <v>A</v>
          </cell>
          <cell r="I55" t="str">
            <v>Conditional</v>
          </cell>
        </row>
        <row r="56">
          <cell r="G56" t="str">
            <v>A</v>
          </cell>
          <cell r="I56" t="str">
            <v>Optional</v>
          </cell>
        </row>
        <row r="57">
          <cell r="G57" t="str">
            <v>A</v>
          </cell>
          <cell r="I57" t="str">
            <v>Optional</v>
          </cell>
        </row>
        <row r="58">
          <cell r="G58" t="str">
            <v>A</v>
          </cell>
          <cell r="I58" t="str">
            <v>Optional</v>
          </cell>
        </row>
        <row r="59">
          <cell r="G59" t="str">
            <v>A</v>
          </cell>
          <cell r="I59" t="str">
            <v>Optional</v>
          </cell>
        </row>
        <row r="60">
          <cell r="G60" t="str">
            <v>A</v>
          </cell>
          <cell r="I60" t="str">
            <v>Optional</v>
          </cell>
        </row>
        <row r="61">
          <cell r="G61" t="str">
            <v>A</v>
          </cell>
          <cell r="I61" t="str">
            <v>Optional</v>
          </cell>
        </row>
        <row r="62">
          <cell r="G62" t="str">
            <v>A</v>
          </cell>
          <cell r="I62" t="str">
            <v>Informational</v>
          </cell>
        </row>
        <row r="63">
          <cell r="G63" t="str">
            <v>A</v>
          </cell>
          <cell r="I63" t="str">
            <v>Mandatory</v>
          </cell>
        </row>
        <row r="64">
          <cell r="G64" t="str">
            <v>A</v>
          </cell>
          <cell r="I64" t="str">
            <v>Mandatory</v>
          </cell>
        </row>
        <row r="65">
          <cell r="G65" t="str">
            <v>A</v>
          </cell>
          <cell r="I65" t="str">
            <v>Optional</v>
          </cell>
        </row>
        <row r="66">
          <cell r="G66" t="str">
            <v>A</v>
          </cell>
          <cell r="I66" t="str">
            <v>Mandatory</v>
          </cell>
        </row>
        <row r="67">
          <cell r="G67" t="str">
            <v>D</v>
          </cell>
          <cell r="I67" t="str">
            <v>Optional</v>
          </cell>
        </row>
        <row r="68">
          <cell r="G68" t="str">
            <v>A</v>
          </cell>
          <cell r="I68" t="str">
            <v>Mandatory</v>
          </cell>
        </row>
        <row r="69">
          <cell r="G69" t="str">
            <v>A</v>
          </cell>
          <cell r="I69" t="str">
            <v>Optional</v>
          </cell>
        </row>
        <row r="70">
          <cell r="G70" t="str">
            <v>A</v>
          </cell>
          <cell r="I70" t="str">
            <v>Mandatory</v>
          </cell>
        </row>
        <row r="71">
          <cell r="G71" t="str">
            <v>A</v>
          </cell>
          <cell r="I71" t="str">
            <v>Mandatory</v>
          </cell>
        </row>
        <row r="72">
          <cell r="G72" t="str">
            <v>A</v>
          </cell>
          <cell r="I72" t="str">
            <v>Mandatory</v>
          </cell>
        </row>
        <row r="73">
          <cell r="G73" t="str">
            <v>A</v>
          </cell>
          <cell r="I73" t="str">
            <v>Informational</v>
          </cell>
        </row>
        <row r="74">
          <cell r="G74" t="str">
            <v>A</v>
          </cell>
          <cell r="I74" t="str">
            <v>Optional</v>
          </cell>
        </row>
        <row r="75">
          <cell r="G75" t="str">
            <v>A</v>
          </cell>
          <cell r="I75" t="str">
            <v>Optional</v>
          </cell>
        </row>
        <row r="76">
          <cell r="G76" t="str">
            <v>A</v>
          </cell>
          <cell r="I76" t="str">
            <v>Mandatory</v>
          </cell>
        </row>
        <row r="77">
          <cell r="G77" t="str">
            <v>A</v>
          </cell>
          <cell r="I77" t="str">
            <v>Mandatory</v>
          </cell>
        </row>
        <row r="78">
          <cell r="G78" t="str">
            <v>A</v>
          </cell>
          <cell r="I78" t="str">
            <v>Optional</v>
          </cell>
        </row>
        <row r="79">
          <cell r="G79" t="str">
            <v>A</v>
          </cell>
          <cell r="I79" t="str">
            <v>Mandatory</v>
          </cell>
        </row>
        <row r="80">
          <cell r="G80" t="str">
            <v>A</v>
          </cell>
          <cell r="I80" t="str">
            <v>Conditional</v>
          </cell>
        </row>
        <row r="81">
          <cell r="G81" t="str">
            <v>A</v>
          </cell>
          <cell r="I81" t="str">
            <v>Mandatory</v>
          </cell>
        </row>
        <row r="82">
          <cell r="G82" t="str">
            <v>A</v>
          </cell>
          <cell r="I82" t="str">
            <v>Optional</v>
          </cell>
        </row>
        <row r="83">
          <cell r="G83" t="str">
            <v>A</v>
          </cell>
          <cell r="I83" t="str">
            <v>Optional</v>
          </cell>
        </row>
        <row r="84">
          <cell r="G84" t="str">
            <v>A</v>
          </cell>
          <cell r="I84" t="str">
            <v>Mandatory</v>
          </cell>
        </row>
        <row r="85">
          <cell r="G85" t="str">
            <v>A</v>
          </cell>
          <cell r="I85" t="str">
            <v>Optional</v>
          </cell>
        </row>
        <row r="86">
          <cell r="G86" t="str">
            <v>D</v>
          </cell>
          <cell r="I86" t="str">
            <v>Optional</v>
          </cell>
        </row>
        <row r="87">
          <cell r="G87" t="str">
            <v>A</v>
          </cell>
          <cell r="I87" t="str">
            <v>Optional</v>
          </cell>
        </row>
        <row r="88">
          <cell r="G88" t="str">
            <v>A</v>
          </cell>
          <cell r="I88" t="str">
            <v>Optional</v>
          </cell>
        </row>
        <row r="89">
          <cell r="G89" t="str">
            <v>A</v>
          </cell>
          <cell r="I89" t="str">
            <v>Mandatory</v>
          </cell>
        </row>
        <row r="90">
          <cell r="G90" t="str">
            <v>A</v>
          </cell>
          <cell r="I90" t="str">
            <v>Optional</v>
          </cell>
        </row>
        <row r="91">
          <cell r="G91" t="str">
            <v>A</v>
          </cell>
          <cell r="I91" t="str">
            <v>Optional</v>
          </cell>
        </row>
        <row r="92">
          <cell r="G92" t="str">
            <v>A</v>
          </cell>
          <cell r="I92" t="str">
            <v>Optional</v>
          </cell>
        </row>
        <row r="93">
          <cell r="G93" t="str">
            <v>A</v>
          </cell>
          <cell r="I93" t="str">
            <v>Optional</v>
          </cell>
        </row>
        <row r="94">
          <cell r="G94" t="str">
            <v>A</v>
          </cell>
          <cell r="I94" t="str">
            <v>Optional</v>
          </cell>
        </row>
        <row r="95">
          <cell r="G95" t="str">
            <v>A</v>
          </cell>
          <cell r="I95" t="str">
            <v>Optional</v>
          </cell>
        </row>
        <row r="96">
          <cell r="G96" t="str">
            <v>D</v>
          </cell>
          <cell r="I96" t="str">
            <v>Optional</v>
          </cell>
        </row>
        <row r="97">
          <cell r="G97" t="str">
            <v>A</v>
          </cell>
          <cell r="I97" t="str">
            <v>Mandatory</v>
          </cell>
        </row>
        <row r="98">
          <cell r="G98" t="str">
            <v>A</v>
          </cell>
          <cell r="I98" t="str">
            <v>Optional</v>
          </cell>
        </row>
        <row r="99">
          <cell r="G99" t="str">
            <v>A</v>
          </cell>
          <cell r="I99" t="str">
            <v>Mandatory</v>
          </cell>
        </row>
        <row r="100">
          <cell r="G100" t="str">
            <v>A</v>
          </cell>
          <cell r="I100" t="str">
            <v>Optional</v>
          </cell>
        </row>
        <row r="101">
          <cell r="G101" t="str">
            <v>A</v>
          </cell>
          <cell r="I101" t="str">
            <v>Optional</v>
          </cell>
        </row>
        <row r="102">
          <cell r="G102" t="str">
            <v>P</v>
          </cell>
          <cell r="I102" t="str">
            <v>Optional</v>
          </cell>
        </row>
        <row r="103">
          <cell r="G103" t="str">
            <v>P</v>
          </cell>
          <cell r="I103" t="str">
            <v>Optional</v>
          </cell>
        </row>
        <row r="104">
          <cell r="G104" t="str">
            <v>P</v>
          </cell>
          <cell r="I104" t="str">
            <v>Conditional</v>
          </cell>
        </row>
        <row r="105">
          <cell r="G105" t="str">
            <v>P</v>
          </cell>
          <cell r="I105" t="str">
            <v>Optional</v>
          </cell>
        </row>
        <row r="106">
          <cell r="G106" t="str">
            <v>P</v>
          </cell>
          <cell r="I106" t="str">
            <v>Optional</v>
          </cell>
        </row>
        <row r="107">
          <cell r="G107" t="str">
            <v>P</v>
          </cell>
          <cell r="I107" t="str">
            <v>Optional</v>
          </cell>
        </row>
        <row r="108">
          <cell r="G108" t="str">
            <v>P</v>
          </cell>
          <cell r="I108" t="str">
            <v>Optional</v>
          </cell>
        </row>
        <row r="109">
          <cell r="G109" t="str">
            <v>P</v>
          </cell>
          <cell r="I109" t="str">
            <v>Conditional</v>
          </cell>
        </row>
      </sheetData>
      <sheetData sheetId="6">
        <row r="5">
          <cell r="G5" t="str">
            <v>A</v>
          </cell>
          <cell r="I5" t="str">
            <v>Mandatory</v>
          </cell>
        </row>
        <row r="6">
          <cell r="G6" t="str">
            <v>A</v>
          </cell>
          <cell r="I6" t="str">
            <v>Mandatory</v>
          </cell>
        </row>
        <row r="7">
          <cell r="G7" t="str">
            <v>A</v>
          </cell>
          <cell r="I7" t="str">
            <v>Mandatory</v>
          </cell>
        </row>
        <row r="8">
          <cell r="G8" t="str">
            <v>A</v>
          </cell>
          <cell r="I8" t="str">
            <v>Optional</v>
          </cell>
        </row>
        <row r="9">
          <cell r="G9" t="str">
            <v>A</v>
          </cell>
          <cell r="I9" t="str">
            <v>Optional</v>
          </cell>
        </row>
        <row r="10">
          <cell r="G10" t="str">
            <v>A</v>
          </cell>
          <cell r="I10" t="str">
            <v>Mandatory</v>
          </cell>
        </row>
        <row r="11">
          <cell r="G11" t="str">
            <v>A</v>
          </cell>
          <cell r="I11" t="str">
            <v>Mandatory</v>
          </cell>
        </row>
        <row r="12">
          <cell r="G12" t="str">
            <v>A</v>
          </cell>
          <cell r="I12" t="str">
            <v>Mandatory</v>
          </cell>
        </row>
        <row r="13">
          <cell r="G13" t="str">
            <v>A</v>
          </cell>
          <cell r="I13" t="str">
            <v>Mandatory</v>
          </cell>
        </row>
        <row r="14">
          <cell r="G14" t="str">
            <v>A</v>
          </cell>
          <cell r="I14" t="str">
            <v>Mandatory</v>
          </cell>
        </row>
        <row r="15">
          <cell r="G15" t="str">
            <v>A</v>
          </cell>
          <cell r="I15" t="str">
            <v>Mandatory</v>
          </cell>
        </row>
        <row r="16">
          <cell r="G16" t="str">
            <v>A</v>
          </cell>
          <cell r="I16" t="str">
            <v>Mandatory</v>
          </cell>
        </row>
        <row r="17">
          <cell r="G17" t="str">
            <v>A</v>
          </cell>
          <cell r="I17" t="str">
            <v>Mandatory</v>
          </cell>
        </row>
        <row r="18">
          <cell r="G18" t="str">
            <v>A</v>
          </cell>
          <cell r="I18" t="str">
            <v>Mandatory</v>
          </cell>
        </row>
        <row r="19">
          <cell r="G19" t="str">
            <v>A</v>
          </cell>
          <cell r="I19" t="str">
            <v>Mandatory</v>
          </cell>
        </row>
        <row r="20">
          <cell r="G20" t="str">
            <v>A</v>
          </cell>
          <cell r="I20" t="str">
            <v>Mandatory</v>
          </cell>
        </row>
        <row r="21">
          <cell r="G21" t="str">
            <v>A</v>
          </cell>
          <cell r="I21" t="str">
            <v>Optional</v>
          </cell>
        </row>
        <row r="22">
          <cell r="G22" t="str">
            <v>A</v>
          </cell>
          <cell r="I22" t="str">
            <v>Optional</v>
          </cell>
        </row>
        <row r="23">
          <cell r="G23" t="str">
            <v>A</v>
          </cell>
          <cell r="I23" t="str">
            <v>Conditional</v>
          </cell>
        </row>
        <row r="24">
          <cell r="G24" t="str">
            <v>A</v>
          </cell>
          <cell r="I24" t="str">
            <v>Mandatory</v>
          </cell>
        </row>
        <row r="25">
          <cell r="G25" t="str">
            <v>A</v>
          </cell>
          <cell r="I25" t="str">
            <v>Conditional</v>
          </cell>
        </row>
        <row r="26">
          <cell r="G26" t="str">
            <v>A</v>
          </cell>
          <cell r="I26" t="str">
            <v>Conditional</v>
          </cell>
        </row>
        <row r="27">
          <cell r="G27" t="str">
            <v>A</v>
          </cell>
          <cell r="I27" t="str">
            <v>Mandatory</v>
          </cell>
        </row>
        <row r="28">
          <cell r="G28" t="str">
            <v>A</v>
          </cell>
          <cell r="I28" t="str">
            <v>Mandatory</v>
          </cell>
        </row>
        <row r="29">
          <cell r="G29" t="str">
            <v>A</v>
          </cell>
          <cell r="I29" t="str">
            <v>Mandatory</v>
          </cell>
        </row>
        <row r="30">
          <cell r="G30" t="str">
            <v>A</v>
          </cell>
          <cell r="I30" t="str">
            <v>Mandatory</v>
          </cell>
        </row>
        <row r="31">
          <cell r="G31" t="str">
            <v>A</v>
          </cell>
          <cell r="I31" t="str">
            <v>Mandatory</v>
          </cell>
        </row>
        <row r="32">
          <cell r="G32" t="str">
            <v>A</v>
          </cell>
          <cell r="I32" t="str">
            <v>Mandatory</v>
          </cell>
        </row>
        <row r="33">
          <cell r="G33" t="str">
            <v>A</v>
          </cell>
          <cell r="I33" t="str">
            <v>Optional</v>
          </cell>
        </row>
        <row r="34">
          <cell r="G34" t="str">
            <v>A</v>
          </cell>
          <cell r="I34" t="str">
            <v>Optional</v>
          </cell>
        </row>
        <row r="35">
          <cell r="G35" t="str">
            <v>A</v>
          </cell>
          <cell r="I35" t="str">
            <v>Mandatory</v>
          </cell>
        </row>
        <row r="36">
          <cell r="G36" t="str">
            <v>A</v>
          </cell>
          <cell r="I36" t="str">
            <v>Optional</v>
          </cell>
        </row>
        <row r="37">
          <cell r="G37" t="str">
            <v>A</v>
          </cell>
          <cell r="I37" t="str">
            <v>Optional</v>
          </cell>
        </row>
        <row r="38">
          <cell r="G38" t="str">
            <v>A</v>
          </cell>
          <cell r="I38" t="str">
            <v>Optional</v>
          </cell>
        </row>
        <row r="39">
          <cell r="G39" t="str">
            <v>A</v>
          </cell>
          <cell r="I39" t="str">
            <v>Optional</v>
          </cell>
        </row>
        <row r="40">
          <cell r="G40" t="str">
            <v>A</v>
          </cell>
          <cell r="I40" t="str">
            <v>Optional</v>
          </cell>
        </row>
        <row r="41">
          <cell r="G41" t="str">
            <v>A</v>
          </cell>
          <cell r="I41" t="str">
            <v>Mandatory</v>
          </cell>
        </row>
        <row r="42">
          <cell r="G42" t="str">
            <v>A</v>
          </cell>
          <cell r="I42" t="str">
            <v>Mandatory</v>
          </cell>
        </row>
        <row r="43">
          <cell r="G43" t="str">
            <v>A</v>
          </cell>
          <cell r="I43" t="str">
            <v>Mandatory</v>
          </cell>
        </row>
        <row r="44">
          <cell r="G44" t="str">
            <v>A</v>
          </cell>
          <cell r="I44" t="str">
            <v>Mandatory</v>
          </cell>
        </row>
        <row r="45">
          <cell r="G45" t="str">
            <v>A</v>
          </cell>
          <cell r="I45" t="str">
            <v>Mandatory</v>
          </cell>
        </row>
        <row r="46">
          <cell r="G46" t="str">
            <v>A</v>
          </cell>
          <cell r="I46" t="str">
            <v>Mandatory</v>
          </cell>
        </row>
        <row r="47">
          <cell r="G47" t="str">
            <v>A</v>
          </cell>
          <cell r="I47" t="str">
            <v>Mandatory</v>
          </cell>
        </row>
        <row r="48">
          <cell r="G48" t="str">
            <v>A</v>
          </cell>
          <cell r="I48" t="str">
            <v>Optional</v>
          </cell>
        </row>
        <row r="49">
          <cell r="G49" t="str">
            <v>A</v>
          </cell>
          <cell r="I49" t="str">
            <v>Mandatory</v>
          </cell>
        </row>
        <row r="50">
          <cell r="G50" t="str">
            <v>A</v>
          </cell>
          <cell r="I50" t="str">
            <v>Mandatory</v>
          </cell>
        </row>
        <row r="51">
          <cell r="G51" t="str">
            <v>A</v>
          </cell>
          <cell r="I51" t="str">
            <v>Mandatory</v>
          </cell>
        </row>
        <row r="52">
          <cell r="G52" t="str">
            <v>A</v>
          </cell>
          <cell r="I52" t="str">
            <v>Optional</v>
          </cell>
        </row>
        <row r="53">
          <cell r="G53" t="str">
            <v>A</v>
          </cell>
          <cell r="I53" t="str">
            <v>Optional</v>
          </cell>
        </row>
        <row r="54">
          <cell r="G54" t="str">
            <v>A</v>
          </cell>
          <cell r="I54" t="str">
            <v>Mandatory</v>
          </cell>
        </row>
        <row r="55">
          <cell r="G55" t="str">
            <v>A</v>
          </cell>
          <cell r="I55" t="str">
            <v>Mandatory</v>
          </cell>
        </row>
        <row r="56">
          <cell r="G56" t="str">
            <v>A</v>
          </cell>
          <cell r="I56" t="str">
            <v>Optional</v>
          </cell>
        </row>
        <row r="57">
          <cell r="G57" t="str">
            <v>A</v>
          </cell>
          <cell r="I57" t="str">
            <v>Optional</v>
          </cell>
        </row>
        <row r="58">
          <cell r="G58" t="str">
            <v>A</v>
          </cell>
          <cell r="I58" t="str">
            <v>Mandatory</v>
          </cell>
        </row>
        <row r="59">
          <cell r="G59" t="str">
            <v>A</v>
          </cell>
          <cell r="I59" t="str">
            <v>Mandatory</v>
          </cell>
        </row>
        <row r="60">
          <cell r="G60" t="str">
            <v>A</v>
          </cell>
          <cell r="I60" t="str">
            <v>Optional</v>
          </cell>
        </row>
        <row r="61">
          <cell r="G61" t="str">
            <v>A</v>
          </cell>
          <cell r="I61" t="str">
            <v>Optional</v>
          </cell>
        </row>
        <row r="62">
          <cell r="G62" t="str">
            <v>A</v>
          </cell>
          <cell r="I62" t="str">
            <v>Optional</v>
          </cell>
        </row>
        <row r="63">
          <cell r="G63" t="str">
            <v>A</v>
          </cell>
          <cell r="I63" t="str">
            <v>Optional</v>
          </cell>
        </row>
        <row r="64">
          <cell r="G64" t="str">
            <v>A</v>
          </cell>
          <cell r="I64" t="str">
            <v>Conditional</v>
          </cell>
        </row>
        <row r="65">
          <cell r="G65" t="str">
            <v>A</v>
          </cell>
          <cell r="I65" t="str">
            <v>Conditional</v>
          </cell>
        </row>
        <row r="66">
          <cell r="G66" t="str">
            <v>A</v>
          </cell>
          <cell r="I66" t="str">
            <v>Conditional</v>
          </cell>
        </row>
        <row r="67">
          <cell r="G67" t="str">
            <v>A</v>
          </cell>
          <cell r="I67" t="str">
            <v>Conditional</v>
          </cell>
        </row>
        <row r="68">
          <cell r="G68" t="str">
            <v>A</v>
          </cell>
          <cell r="I68" t="str">
            <v>Conditional</v>
          </cell>
        </row>
        <row r="69">
          <cell r="G69" t="str">
            <v>A</v>
          </cell>
          <cell r="I69" t="str">
            <v>Conditional</v>
          </cell>
        </row>
        <row r="70">
          <cell r="G70" t="str">
            <v>A</v>
          </cell>
          <cell r="I70" t="str">
            <v>Conditional</v>
          </cell>
        </row>
        <row r="71">
          <cell r="G71" t="str">
            <v>A</v>
          </cell>
          <cell r="I71" t="str">
            <v>Conditional</v>
          </cell>
        </row>
        <row r="72">
          <cell r="G72" t="str">
            <v>A</v>
          </cell>
          <cell r="I72" t="str">
            <v>Optional</v>
          </cell>
        </row>
        <row r="73">
          <cell r="G73" t="str">
            <v>A</v>
          </cell>
          <cell r="I73" t="str">
            <v>Optional</v>
          </cell>
        </row>
        <row r="74">
          <cell r="G74" t="str">
            <v>A</v>
          </cell>
          <cell r="I74" t="str">
            <v>Optional</v>
          </cell>
        </row>
        <row r="75">
          <cell r="G75" t="str">
            <v>A</v>
          </cell>
          <cell r="I75" t="str">
            <v>Optional</v>
          </cell>
        </row>
        <row r="76">
          <cell r="G76" t="str">
            <v>A</v>
          </cell>
          <cell r="I76" t="str">
            <v>Mandatory</v>
          </cell>
        </row>
        <row r="77">
          <cell r="G77" t="str">
            <v>A</v>
          </cell>
          <cell r="I77" t="str">
            <v>Mandatory</v>
          </cell>
        </row>
        <row r="78">
          <cell r="G78" t="str">
            <v>A</v>
          </cell>
          <cell r="I78" t="str">
            <v>Mandatory</v>
          </cell>
        </row>
        <row r="79">
          <cell r="G79" t="str">
            <v>A</v>
          </cell>
          <cell r="I79" t="str">
            <v>Mandatory</v>
          </cell>
        </row>
        <row r="80">
          <cell r="G80" t="str">
            <v>A</v>
          </cell>
          <cell r="I80" t="str">
            <v>Conditional</v>
          </cell>
        </row>
        <row r="81">
          <cell r="G81" t="str">
            <v>A</v>
          </cell>
          <cell r="I81" t="str">
            <v>Conditional</v>
          </cell>
        </row>
        <row r="82">
          <cell r="G82" t="str">
            <v>A</v>
          </cell>
          <cell r="I82" t="str">
            <v>Conditional</v>
          </cell>
        </row>
        <row r="83">
          <cell r="G83" t="str">
            <v>A</v>
          </cell>
          <cell r="I83" t="str">
            <v>Conditional</v>
          </cell>
        </row>
        <row r="84">
          <cell r="G84" t="str">
            <v>A</v>
          </cell>
          <cell r="I84" t="str">
            <v>Mandatory</v>
          </cell>
        </row>
        <row r="85">
          <cell r="G85" t="str">
            <v>A</v>
          </cell>
          <cell r="I85" t="str">
            <v>Mandatory</v>
          </cell>
        </row>
        <row r="86">
          <cell r="G86" t="str">
            <v>A</v>
          </cell>
          <cell r="I86" t="str">
            <v>Mandatory</v>
          </cell>
        </row>
        <row r="87">
          <cell r="G87" t="str">
            <v>A</v>
          </cell>
          <cell r="I87" t="str">
            <v>Mandatory</v>
          </cell>
        </row>
        <row r="88">
          <cell r="G88" t="str">
            <v>A</v>
          </cell>
          <cell r="I88" t="str">
            <v>Optional</v>
          </cell>
        </row>
        <row r="89">
          <cell r="G89" t="str">
            <v>A</v>
          </cell>
          <cell r="I89" t="str">
            <v>Optional</v>
          </cell>
        </row>
        <row r="90">
          <cell r="G90" t="str">
            <v>A</v>
          </cell>
          <cell r="I90" t="str">
            <v>Optional</v>
          </cell>
        </row>
        <row r="91">
          <cell r="G91" t="str">
            <v>A</v>
          </cell>
          <cell r="I91" t="str">
            <v>Optional</v>
          </cell>
        </row>
        <row r="92">
          <cell r="G92" t="str">
            <v>A</v>
          </cell>
          <cell r="I92" t="str">
            <v>Mandatory</v>
          </cell>
        </row>
        <row r="93">
          <cell r="G93" t="str">
            <v>A</v>
          </cell>
          <cell r="I93" t="str">
            <v>Optional</v>
          </cell>
        </row>
        <row r="94">
          <cell r="G94" t="str">
            <v>A</v>
          </cell>
          <cell r="I94" t="str">
            <v>Mandatory</v>
          </cell>
        </row>
        <row r="95">
          <cell r="G95" t="str">
            <v>A</v>
          </cell>
          <cell r="I95" t="str">
            <v>Mandatory</v>
          </cell>
        </row>
        <row r="96">
          <cell r="G96" t="str">
            <v>A</v>
          </cell>
          <cell r="I96" t="str">
            <v>Mandatory</v>
          </cell>
        </row>
        <row r="97">
          <cell r="G97" t="str">
            <v>A</v>
          </cell>
          <cell r="I97" t="str">
            <v>Mandatory</v>
          </cell>
        </row>
        <row r="98">
          <cell r="G98" t="str">
            <v>A</v>
          </cell>
          <cell r="I98" t="str">
            <v>Conditional</v>
          </cell>
        </row>
        <row r="99">
          <cell r="G99" t="str">
            <v>A</v>
          </cell>
          <cell r="I99" t="str">
            <v>Conditional</v>
          </cell>
        </row>
        <row r="100">
          <cell r="G100" t="str">
            <v>A</v>
          </cell>
          <cell r="I100" t="str">
            <v>Optional</v>
          </cell>
        </row>
        <row r="101">
          <cell r="G101" t="str">
            <v>A</v>
          </cell>
          <cell r="I101" t="str">
            <v>Conditional</v>
          </cell>
        </row>
        <row r="102">
          <cell r="G102" t="str">
            <v>A</v>
          </cell>
          <cell r="I102" t="str">
            <v>Optional</v>
          </cell>
        </row>
        <row r="103">
          <cell r="G103" t="str">
            <v>A</v>
          </cell>
          <cell r="I103" t="str">
            <v>Optional</v>
          </cell>
        </row>
        <row r="104">
          <cell r="G104" t="str">
            <v>A</v>
          </cell>
          <cell r="I104" t="str">
            <v>Optional</v>
          </cell>
        </row>
        <row r="105">
          <cell r="G105" t="str">
            <v>A</v>
          </cell>
          <cell r="I105" t="str">
            <v>Optional</v>
          </cell>
        </row>
        <row r="106">
          <cell r="G106" t="str">
            <v>A</v>
          </cell>
          <cell r="I106" t="str">
            <v>Optional</v>
          </cell>
        </row>
        <row r="107">
          <cell r="G107" t="str">
            <v>A</v>
          </cell>
          <cell r="I107" t="str">
            <v>Optional</v>
          </cell>
        </row>
        <row r="108">
          <cell r="G108" t="str">
            <v>A</v>
          </cell>
          <cell r="I108" t="str">
            <v>Optional</v>
          </cell>
        </row>
        <row r="109">
          <cell r="G109" t="str">
            <v>A</v>
          </cell>
          <cell r="I109" t="str">
            <v>Optional</v>
          </cell>
        </row>
        <row r="110">
          <cell r="G110" t="str">
            <v>A</v>
          </cell>
          <cell r="I110" t="str">
            <v>Conditional</v>
          </cell>
        </row>
        <row r="111">
          <cell r="G111" t="str">
            <v>A</v>
          </cell>
          <cell r="I111" t="str">
            <v>Optional</v>
          </cell>
        </row>
        <row r="112">
          <cell r="G112" t="str">
            <v>A</v>
          </cell>
          <cell r="I112" t="str">
            <v>Conditional</v>
          </cell>
        </row>
        <row r="113">
          <cell r="G113" t="str">
            <v>A</v>
          </cell>
          <cell r="I113" t="str">
            <v>Optional</v>
          </cell>
        </row>
        <row r="114">
          <cell r="G114" t="str">
            <v>A</v>
          </cell>
          <cell r="I114" t="str">
            <v>Conditional</v>
          </cell>
        </row>
        <row r="115">
          <cell r="G115" t="str">
            <v>A</v>
          </cell>
          <cell r="I115" t="str">
            <v>Optional</v>
          </cell>
        </row>
        <row r="116">
          <cell r="G116" t="str">
            <v>A</v>
          </cell>
          <cell r="I116" t="str">
            <v>Optional</v>
          </cell>
        </row>
        <row r="117">
          <cell r="G117" t="str">
            <v>A</v>
          </cell>
          <cell r="I117" t="str">
            <v>Mandatory</v>
          </cell>
        </row>
        <row r="118">
          <cell r="G118" t="str">
            <v>A</v>
          </cell>
          <cell r="I118" t="str">
            <v>Mandatory</v>
          </cell>
        </row>
        <row r="119">
          <cell r="G119" t="str">
            <v>A</v>
          </cell>
          <cell r="I119" t="str">
            <v>Mandatory</v>
          </cell>
        </row>
        <row r="120">
          <cell r="G120" t="str">
            <v>A</v>
          </cell>
          <cell r="I120" t="str">
            <v>Mandatory</v>
          </cell>
        </row>
        <row r="121">
          <cell r="G121" t="str">
            <v>A</v>
          </cell>
          <cell r="I121" t="str">
            <v>Mandatory</v>
          </cell>
        </row>
        <row r="122">
          <cell r="G122" t="str">
            <v>A</v>
          </cell>
          <cell r="I122" t="str">
            <v>Conditional</v>
          </cell>
        </row>
        <row r="123">
          <cell r="G123" t="str">
            <v>A</v>
          </cell>
          <cell r="I123" t="str">
            <v>Optional</v>
          </cell>
        </row>
        <row r="124">
          <cell r="G124" t="str">
            <v>A</v>
          </cell>
          <cell r="I124" t="str">
            <v>Optional</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Ref Docs &amp; Notes"/>
      <sheetName val="Instructions"/>
      <sheetName val="Device Info"/>
      <sheetName val="Client Prompts"/>
      <sheetName val="Server Prompts"/>
    </sheetNames>
    <sheetDataSet>
      <sheetData sheetId="0"/>
      <sheetData sheetId="1"/>
      <sheetData sheetId="2"/>
      <sheetData sheetId="3"/>
      <sheetData sheetId="4"/>
    </sheetDataSet>
  </externalBook>
</externalLink>
</file>

<file path=xl/tables/table1.xml><?xml version="1.0" encoding="utf-8"?>
<table xmlns="http://schemas.openxmlformats.org/spreadsheetml/2006/main" id="2" name="Table2" displayName="Table2" ref="A1:E80" totalsRowShown="0" headerRowBorderDxfId="11">
  <autoFilter ref="A1:E80"/>
  <tableColumns count="5">
    <tableColumn id="1" name="Category" dataDxfId="10"/>
    <tableColumn id="2" name="PIXIT ID" dataDxfId="9"/>
    <tableColumn id="3" name="Pixit Tag" dataDxfId="8"/>
    <tableColumn id="4" name="Description" dataDxfId="7"/>
    <tableColumn id="5" name="Prompt to Tester" dataDxfId="6">
      <calculatedColumnFormula>"Test Answer for Client PIXIT "&amp;Table1[[#This Row],[PIXIT ID]]</calculatedColumnFormula>
    </tableColumn>
  </tableColumns>
  <tableStyleInfo name="TableStyleLight1" showFirstColumn="0" showLastColumn="0" showRowStripes="0" showColumnStripes="0"/>
</table>
</file>

<file path=xl/tables/table2.xml><?xml version="1.0" encoding="utf-8"?>
<table xmlns="http://schemas.openxmlformats.org/spreadsheetml/2006/main" id="1" name="Table1" displayName="Table1" ref="A1:E1048325" totalsRowShown="0" headerRowBorderDxfId="5">
  <autoFilter ref="A1:E1048325"/>
  <tableColumns count="5">
    <tableColumn id="1" name="Category" dataDxfId="4"/>
    <tableColumn id="2" name="PIXIT ID" dataDxfId="3"/>
    <tableColumn id="3" name="Pixit Tag" dataDxfId="2"/>
    <tableColumn id="4" name="Description" dataDxfId="1"/>
    <tableColumn id="5" name="Prompt to Tester" dataDxfId="0"/>
  </tableColumns>
  <tableStyleInfo name="TableStyleLight1"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1" Type="http://schemas.openxmlformats.org/officeDocument/2006/relationships/drawing" Target="../drawings/drawing2.xml"/><Relationship Id="rId2"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table" Target="../tables/table1.xml"/><Relationship Id="rId3"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3.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2.xml"/><Relationship Id="rId3"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I144"/>
  <sheetViews>
    <sheetView tabSelected="1" workbookViewId="0">
      <selection activeCell="D7" sqref="D7"/>
    </sheetView>
  </sheetViews>
  <sheetFormatPr baseColWidth="10" defaultColWidth="10.83203125" defaultRowHeight="12" x14ac:dyDescent="0"/>
  <cols>
    <col min="1" max="1" width="3.6640625" style="85" customWidth="1"/>
    <col min="2" max="2" width="11.6640625" style="85" customWidth="1"/>
    <col min="3" max="3" width="11.1640625" style="89" customWidth="1"/>
    <col min="4" max="4" width="16.33203125" style="90" customWidth="1"/>
    <col min="5" max="5" width="12.33203125" style="91" customWidth="1"/>
    <col min="6" max="6" width="27.5" style="89" customWidth="1"/>
    <col min="7" max="7" width="77.6640625" style="85" customWidth="1"/>
    <col min="8" max="8" width="26.33203125" style="85" customWidth="1"/>
    <col min="9" max="16384" width="10.83203125" style="85"/>
  </cols>
  <sheetData>
    <row r="1" spans="1:9">
      <c r="A1" s="92"/>
      <c r="B1" s="92"/>
      <c r="C1" s="92"/>
      <c r="D1" s="92"/>
      <c r="E1" s="92"/>
      <c r="F1" s="92"/>
      <c r="G1" s="92"/>
      <c r="H1" s="92"/>
      <c r="I1" s="92"/>
    </row>
    <row r="2" spans="1:9" s="95" customFormat="1" ht="21">
      <c r="A2" s="93"/>
      <c r="B2" s="94" t="s">
        <v>212</v>
      </c>
      <c r="C2" s="93"/>
      <c r="D2" s="94"/>
      <c r="E2" s="93"/>
      <c r="F2" s="94"/>
      <c r="G2" s="93"/>
      <c r="H2" s="94"/>
      <c r="I2" s="93"/>
    </row>
    <row r="3" spans="1:9" s="95" customFormat="1" ht="17">
      <c r="A3" s="93"/>
      <c r="B3" s="93" t="s">
        <v>213</v>
      </c>
      <c r="C3" s="93"/>
      <c r="D3" s="93"/>
      <c r="E3" s="93"/>
      <c r="F3" s="93"/>
      <c r="G3" s="93"/>
      <c r="H3" s="93"/>
      <c r="I3" s="93"/>
    </row>
    <row r="4" spans="1:9" ht="15">
      <c r="A4" s="92"/>
      <c r="B4" s="96" t="s">
        <v>214</v>
      </c>
      <c r="C4" s="92"/>
      <c r="D4" s="97">
        <v>41801</v>
      </c>
      <c r="E4" s="92"/>
      <c r="F4" s="96"/>
      <c r="G4" s="92"/>
      <c r="H4" s="96"/>
      <c r="I4" s="92"/>
    </row>
    <row r="5" spans="1:9" ht="15">
      <c r="A5" s="92"/>
      <c r="B5" s="96" t="s">
        <v>1474</v>
      </c>
      <c r="C5" s="92"/>
      <c r="D5" s="98" t="s">
        <v>2151</v>
      </c>
      <c r="E5" s="92"/>
      <c r="F5" s="96"/>
      <c r="G5" s="92"/>
      <c r="H5" s="96"/>
      <c r="I5" s="92"/>
    </row>
    <row r="6" spans="1:9" ht="15">
      <c r="A6" s="92"/>
      <c r="B6" s="96" t="s">
        <v>215</v>
      </c>
      <c r="C6" s="92"/>
      <c r="D6" s="98" t="s">
        <v>2153</v>
      </c>
      <c r="E6" s="92"/>
      <c r="F6" s="96"/>
      <c r="G6" s="92"/>
      <c r="H6" s="96"/>
      <c r="I6" s="92"/>
    </row>
    <row r="8" spans="1:9" ht="15">
      <c r="B8" s="99" t="s">
        <v>216</v>
      </c>
      <c r="C8" s="100"/>
      <c r="D8" s="101"/>
      <c r="E8" s="102"/>
      <c r="F8" s="100"/>
      <c r="G8" s="92"/>
      <c r="H8" s="92"/>
    </row>
    <row r="9" spans="1:9" ht="13">
      <c r="B9" s="116" t="s">
        <v>217</v>
      </c>
      <c r="C9" s="117" t="s">
        <v>219</v>
      </c>
      <c r="D9" s="118" t="s">
        <v>220</v>
      </c>
      <c r="E9" s="119" t="s">
        <v>218</v>
      </c>
      <c r="G9" s="92"/>
      <c r="H9" s="92"/>
    </row>
    <row r="10" spans="1:9">
      <c r="B10" s="101" t="s">
        <v>1475</v>
      </c>
      <c r="C10" s="103" t="s">
        <v>1764</v>
      </c>
      <c r="D10" s="113" t="s">
        <v>1989</v>
      </c>
      <c r="E10" s="114" t="s">
        <v>81</v>
      </c>
      <c r="G10" s="92"/>
      <c r="H10" s="92"/>
    </row>
    <row r="11" spans="1:9">
      <c r="B11" s="101" t="s">
        <v>1476</v>
      </c>
      <c r="C11" s="103" t="s">
        <v>1976</v>
      </c>
      <c r="D11" s="113" t="s">
        <v>1989</v>
      </c>
      <c r="E11" s="114" t="s">
        <v>1505</v>
      </c>
      <c r="G11" s="92"/>
      <c r="H11" s="92"/>
    </row>
    <row r="12" spans="1:9">
      <c r="B12" s="101" t="s">
        <v>1494</v>
      </c>
      <c r="C12" s="103" t="s">
        <v>1976</v>
      </c>
      <c r="D12" s="113" t="s">
        <v>2023</v>
      </c>
      <c r="E12" s="114" t="s">
        <v>98</v>
      </c>
      <c r="G12" s="92"/>
      <c r="H12" s="92"/>
    </row>
    <row r="13" spans="1:9">
      <c r="B13" s="101" t="s">
        <v>1478</v>
      </c>
      <c r="C13" s="103" t="s">
        <v>1976</v>
      </c>
      <c r="D13" s="113" t="s">
        <v>2135</v>
      </c>
      <c r="E13" s="114" t="s">
        <v>1514</v>
      </c>
      <c r="G13" s="92"/>
      <c r="H13" s="92"/>
    </row>
    <row r="14" spans="1:9">
      <c r="B14" s="101" t="s">
        <v>1495</v>
      </c>
      <c r="C14" s="103" t="s">
        <v>1764</v>
      </c>
      <c r="D14" s="113" t="s">
        <v>2023</v>
      </c>
      <c r="E14" s="114" t="s">
        <v>129</v>
      </c>
      <c r="G14" s="92"/>
      <c r="H14" s="92"/>
    </row>
    <row r="15" spans="1:9">
      <c r="B15" s="101" t="s">
        <v>1479</v>
      </c>
      <c r="C15" s="103" t="s">
        <v>2136</v>
      </c>
      <c r="D15" s="113" t="s">
        <v>2137</v>
      </c>
      <c r="E15" s="114" t="s">
        <v>2122</v>
      </c>
      <c r="G15" s="92"/>
      <c r="H15" s="92"/>
    </row>
    <row r="16" spans="1:9">
      <c r="B16" s="101" t="s">
        <v>1496</v>
      </c>
      <c r="C16" s="103" t="s">
        <v>1976</v>
      </c>
      <c r="D16" s="113" t="s">
        <v>1989</v>
      </c>
      <c r="E16" s="114" t="s">
        <v>8</v>
      </c>
      <c r="G16" s="92"/>
      <c r="H16" s="92"/>
    </row>
    <row r="17" spans="2:8">
      <c r="B17" s="101" t="s">
        <v>1480</v>
      </c>
      <c r="C17" s="103" t="s">
        <v>1976</v>
      </c>
      <c r="D17" s="113" t="s">
        <v>2102</v>
      </c>
      <c r="E17" s="114" t="s">
        <v>1506</v>
      </c>
      <c r="G17" s="92"/>
      <c r="H17" s="92"/>
    </row>
    <row r="18" spans="2:8">
      <c r="B18" s="101" t="s">
        <v>1497</v>
      </c>
      <c r="C18" s="103" t="s">
        <v>1764</v>
      </c>
      <c r="D18" s="152" t="s">
        <v>1989</v>
      </c>
      <c r="E18" s="114" t="s">
        <v>1426</v>
      </c>
      <c r="G18" s="92"/>
      <c r="H18" s="92"/>
    </row>
    <row r="19" spans="2:8">
      <c r="B19" s="101" t="s">
        <v>1481</v>
      </c>
      <c r="C19" s="103" t="s">
        <v>1762</v>
      </c>
      <c r="D19" s="113" t="s">
        <v>1765</v>
      </c>
      <c r="E19" s="114" t="s">
        <v>1507</v>
      </c>
      <c r="G19" s="92"/>
      <c r="H19" s="92"/>
    </row>
    <row r="20" spans="2:8">
      <c r="B20" s="101" t="s">
        <v>1498</v>
      </c>
      <c r="C20" s="103" t="s">
        <v>1762</v>
      </c>
      <c r="D20" s="113" t="s">
        <v>1766</v>
      </c>
      <c r="E20" s="114" t="s">
        <v>1489</v>
      </c>
      <c r="G20" s="92"/>
      <c r="H20" s="92"/>
    </row>
    <row r="21" spans="2:8">
      <c r="B21" s="101" t="s">
        <v>1482</v>
      </c>
      <c r="C21" s="103" t="s">
        <v>1762</v>
      </c>
      <c r="D21" s="113" t="s">
        <v>1765</v>
      </c>
      <c r="E21" s="114" t="s">
        <v>1508</v>
      </c>
      <c r="G21" s="92"/>
      <c r="H21" s="92"/>
    </row>
    <row r="22" spans="2:8">
      <c r="B22" s="101" t="s">
        <v>1499</v>
      </c>
      <c r="C22" s="103" t="s">
        <v>1477</v>
      </c>
      <c r="D22" s="113" t="s">
        <v>1767</v>
      </c>
      <c r="E22" s="114" t="s">
        <v>1490</v>
      </c>
      <c r="G22" s="92"/>
      <c r="H22" s="92"/>
    </row>
    <row r="23" spans="2:8">
      <c r="B23" s="101" t="s">
        <v>1483</v>
      </c>
      <c r="C23" s="103" t="s">
        <v>1762</v>
      </c>
      <c r="D23" s="113" t="s">
        <v>1765</v>
      </c>
      <c r="E23" s="114" t="s">
        <v>1509</v>
      </c>
      <c r="G23" s="92"/>
      <c r="H23" s="92"/>
    </row>
    <row r="24" spans="2:8">
      <c r="B24" s="101" t="s">
        <v>1500</v>
      </c>
      <c r="C24" s="103" t="s">
        <v>1477</v>
      </c>
      <c r="D24" s="113" t="s">
        <v>1768</v>
      </c>
      <c r="E24" s="114" t="s">
        <v>1491</v>
      </c>
      <c r="G24" s="92"/>
      <c r="H24" s="92"/>
    </row>
    <row r="25" spans="2:8">
      <c r="B25" s="101" t="s">
        <v>1484</v>
      </c>
      <c r="C25" s="103" t="s">
        <v>1762</v>
      </c>
      <c r="D25" s="113" t="s">
        <v>1765</v>
      </c>
      <c r="E25" s="114" t="s">
        <v>1510</v>
      </c>
      <c r="G25" s="92"/>
      <c r="H25" s="92"/>
    </row>
    <row r="26" spans="2:8">
      <c r="B26" s="101" t="s">
        <v>1501</v>
      </c>
      <c r="C26" s="103" t="s">
        <v>1976</v>
      </c>
      <c r="D26" s="113" t="s">
        <v>1989</v>
      </c>
      <c r="E26" s="114" t="s">
        <v>1492</v>
      </c>
      <c r="G26" s="92"/>
      <c r="H26" s="92"/>
    </row>
    <row r="27" spans="2:8">
      <c r="B27" s="101" t="s">
        <v>1485</v>
      </c>
      <c r="C27" s="103" t="s">
        <v>1764</v>
      </c>
      <c r="D27" s="113" t="s">
        <v>1989</v>
      </c>
      <c r="E27" s="114" t="s">
        <v>1511</v>
      </c>
      <c r="G27" s="92"/>
      <c r="H27" s="92"/>
    </row>
    <row r="28" spans="2:8">
      <c r="B28" s="101" t="s">
        <v>1502</v>
      </c>
      <c r="C28" s="103" t="s">
        <v>1763</v>
      </c>
      <c r="D28" s="113" t="s">
        <v>1989</v>
      </c>
      <c r="E28" s="114" t="s">
        <v>1493</v>
      </c>
      <c r="G28" s="92"/>
      <c r="H28" s="92"/>
    </row>
    <row r="29" spans="2:8">
      <c r="B29" s="101" t="s">
        <v>1486</v>
      </c>
      <c r="C29" s="103" t="s">
        <v>1477</v>
      </c>
      <c r="D29" s="113" t="s">
        <v>1768</v>
      </c>
      <c r="E29" s="114" t="s">
        <v>1512</v>
      </c>
      <c r="G29" s="92"/>
      <c r="H29" s="92"/>
    </row>
    <row r="30" spans="2:8">
      <c r="B30" s="101" t="s">
        <v>1503</v>
      </c>
      <c r="C30" s="103" t="s">
        <v>1763</v>
      </c>
      <c r="D30" s="113" t="s">
        <v>1989</v>
      </c>
      <c r="E30" s="114" t="s">
        <v>2001</v>
      </c>
      <c r="G30" s="92"/>
      <c r="H30" s="92"/>
    </row>
    <row r="31" spans="2:8">
      <c r="B31" s="101" t="s">
        <v>1487</v>
      </c>
      <c r="C31" s="103" t="s">
        <v>1764</v>
      </c>
      <c r="D31" s="113" t="s">
        <v>1989</v>
      </c>
      <c r="E31" s="114" t="s">
        <v>2002</v>
      </c>
      <c r="G31" s="92"/>
      <c r="H31" s="92"/>
    </row>
    <row r="32" spans="2:8">
      <c r="B32" s="101" t="s">
        <v>1504</v>
      </c>
      <c r="C32" s="103" t="s">
        <v>1763</v>
      </c>
      <c r="D32" s="113" t="s">
        <v>1989</v>
      </c>
      <c r="E32" s="114" t="s">
        <v>1819</v>
      </c>
      <c r="G32" s="92"/>
      <c r="H32" s="92"/>
    </row>
    <row r="33" spans="2:8">
      <c r="B33" s="101" t="s">
        <v>1488</v>
      </c>
      <c r="C33" s="103" t="s">
        <v>1764</v>
      </c>
      <c r="D33" s="113" t="s">
        <v>2050</v>
      </c>
      <c r="E33" s="114" t="s">
        <v>1820</v>
      </c>
      <c r="G33" s="92"/>
      <c r="H33" s="92"/>
    </row>
    <row r="34" spans="2:8">
      <c r="B34" s="101" t="s">
        <v>1662</v>
      </c>
      <c r="C34" s="103" t="s">
        <v>2130</v>
      </c>
      <c r="D34" s="113" t="s">
        <v>2131</v>
      </c>
      <c r="E34" s="114" t="s">
        <v>1668</v>
      </c>
      <c r="G34" s="92"/>
      <c r="H34" s="92"/>
    </row>
    <row r="35" spans="2:8">
      <c r="B35" s="101" t="s">
        <v>1663</v>
      </c>
      <c r="C35" s="103" t="s">
        <v>1764</v>
      </c>
      <c r="D35" s="113" t="s">
        <v>2131</v>
      </c>
      <c r="E35" s="114" t="s">
        <v>1669</v>
      </c>
      <c r="G35" s="92"/>
      <c r="H35" s="92"/>
    </row>
    <row r="36" spans="2:8">
      <c r="B36" s="101" t="s">
        <v>1664</v>
      </c>
      <c r="C36" s="103" t="s">
        <v>1837</v>
      </c>
      <c r="D36" s="152" t="s">
        <v>2129</v>
      </c>
      <c r="E36" s="114" t="s">
        <v>1628</v>
      </c>
      <c r="G36" s="92"/>
      <c r="H36" s="92"/>
    </row>
    <row r="37" spans="2:8">
      <c r="B37" s="101" t="s">
        <v>1665</v>
      </c>
      <c r="C37" s="152" t="s">
        <v>1762</v>
      </c>
      <c r="D37" s="113" t="s">
        <v>2131</v>
      </c>
      <c r="E37" s="114" t="s">
        <v>1670</v>
      </c>
      <c r="G37" s="92"/>
      <c r="H37" s="92"/>
    </row>
    <row r="38" spans="2:8">
      <c r="B38" s="101" t="s">
        <v>1666</v>
      </c>
      <c r="C38" s="103" t="s">
        <v>1763</v>
      </c>
      <c r="D38" s="152" t="s">
        <v>2102</v>
      </c>
      <c r="E38" s="114" t="s">
        <v>1671</v>
      </c>
      <c r="G38" s="92"/>
      <c r="H38" s="92"/>
    </row>
    <row r="39" spans="2:8">
      <c r="B39" s="101" t="s">
        <v>1667</v>
      </c>
      <c r="C39" s="103" t="s">
        <v>1764</v>
      </c>
      <c r="D39" s="113" t="s">
        <v>2131</v>
      </c>
      <c r="E39" s="114" t="s">
        <v>1672</v>
      </c>
      <c r="G39" s="92"/>
      <c r="H39" s="92"/>
    </row>
    <row r="40" spans="2:8">
      <c r="B40" s="101"/>
      <c r="C40" s="103"/>
      <c r="D40" s="101"/>
      <c r="E40" s="115"/>
      <c r="F40" s="100"/>
      <c r="G40" s="92"/>
      <c r="H40" s="92"/>
    </row>
    <row r="41" spans="2:8" ht="15">
      <c r="B41" s="104" t="s">
        <v>221</v>
      </c>
      <c r="C41" s="100"/>
      <c r="D41" s="101"/>
      <c r="E41" s="102"/>
      <c r="F41" s="100"/>
      <c r="G41" s="92"/>
      <c r="H41" s="92"/>
    </row>
    <row r="42" spans="2:8" ht="13">
      <c r="B42" s="116" t="s">
        <v>219</v>
      </c>
      <c r="C42" s="116" t="s">
        <v>222</v>
      </c>
      <c r="D42" s="116" t="s">
        <v>223</v>
      </c>
      <c r="E42" s="119" t="s">
        <v>224</v>
      </c>
      <c r="F42" s="85"/>
      <c r="H42" s="92"/>
    </row>
    <row r="43" spans="2:8">
      <c r="B43" s="105" t="s">
        <v>228</v>
      </c>
      <c r="C43" s="106">
        <v>40701</v>
      </c>
      <c r="D43" s="120" t="s">
        <v>230</v>
      </c>
      <c r="E43" s="107" t="s">
        <v>225</v>
      </c>
      <c r="F43" s="85"/>
      <c r="H43" s="92"/>
    </row>
    <row r="44" spans="2:8">
      <c r="B44" s="105" t="s">
        <v>229</v>
      </c>
      <c r="C44" s="106">
        <v>41075</v>
      </c>
      <c r="D44" s="120" t="s">
        <v>226</v>
      </c>
      <c r="E44" s="107" t="s">
        <v>227</v>
      </c>
      <c r="F44" s="85"/>
      <c r="H44" s="92"/>
    </row>
    <row r="45" spans="2:8">
      <c r="B45" s="105" t="s">
        <v>489</v>
      </c>
      <c r="C45" s="106">
        <v>41085</v>
      </c>
      <c r="D45" s="120" t="s">
        <v>230</v>
      </c>
      <c r="E45" s="107" t="s">
        <v>490</v>
      </c>
      <c r="F45" s="85"/>
      <c r="H45" s="92"/>
    </row>
    <row r="46" spans="2:8">
      <c r="B46" s="105" t="s">
        <v>1760</v>
      </c>
      <c r="C46" s="106">
        <v>41085</v>
      </c>
      <c r="D46" s="120" t="s">
        <v>226</v>
      </c>
      <c r="E46" s="107" t="s">
        <v>491</v>
      </c>
      <c r="F46" s="85"/>
      <c r="H46" s="92"/>
    </row>
    <row r="47" spans="2:8">
      <c r="B47" s="105" t="s">
        <v>499</v>
      </c>
      <c r="C47" s="106">
        <v>41086</v>
      </c>
      <c r="D47" s="120" t="s">
        <v>226</v>
      </c>
      <c r="E47" s="107" t="s">
        <v>492</v>
      </c>
      <c r="F47" s="85"/>
      <c r="H47" s="92"/>
    </row>
    <row r="48" spans="2:8">
      <c r="B48" s="105" t="s">
        <v>501</v>
      </c>
      <c r="C48" s="106">
        <v>41107</v>
      </c>
      <c r="D48" s="120" t="s">
        <v>230</v>
      </c>
      <c r="E48" s="107" t="s">
        <v>502</v>
      </c>
      <c r="F48" s="85"/>
      <c r="H48" s="92"/>
    </row>
    <row r="49" spans="2:8">
      <c r="B49" s="105" t="s">
        <v>498</v>
      </c>
      <c r="C49" s="106">
        <v>41111</v>
      </c>
      <c r="D49" s="120" t="s">
        <v>230</v>
      </c>
      <c r="E49" s="107" t="s">
        <v>500</v>
      </c>
      <c r="F49" s="85"/>
      <c r="H49" s="92"/>
    </row>
    <row r="50" spans="2:8">
      <c r="B50" s="105" t="s">
        <v>503</v>
      </c>
      <c r="C50" s="106">
        <v>41116</v>
      </c>
      <c r="D50" s="120" t="s">
        <v>226</v>
      </c>
      <c r="E50" s="107" t="s">
        <v>504</v>
      </c>
      <c r="F50" s="85"/>
      <c r="H50" s="92"/>
    </row>
    <row r="51" spans="2:8">
      <c r="B51" s="105" t="s">
        <v>551</v>
      </c>
      <c r="C51" s="106">
        <v>41120</v>
      </c>
      <c r="D51" s="120" t="s">
        <v>226</v>
      </c>
      <c r="E51" s="107" t="s">
        <v>552</v>
      </c>
      <c r="F51" s="85"/>
      <c r="H51" s="92"/>
    </row>
    <row r="52" spans="2:8">
      <c r="B52" s="103" t="s">
        <v>553</v>
      </c>
      <c r="C52" s="87">
        <v>41121</v>
      </c>
      <c r="D52" s="100" t="s">
        <v>226</v>
      </c>
      <c r="E52" s="92" t="s">
        <v>555</v>
      </c>
      <c r="F52" s="85"/>
      <c r="H52" s="92"/>
    </row>
    <row r="53" spans="2:8">
      <c r="B53" s="103" t="s">
        <v>556</v>
      </c>
      <c r="C53" s="87">
        <v>41124</v>
      </c>
      <c r="D53" s="100" t="s">
        <v>226</v>
      </c>
      <c r="E53" s="92" t="s">
        <v>557</v>
      </c>
      <c r="F53" s="85"/>
      <c r="H53" s="92"/>
    </row>
    <row r="54" spans="2:8">
      <c r="B54" s="103" t="s">
        <v>705</v>
      </c>
      <c r="C54" s="87">
        <v>41131</v>
      </c>
      <c r="D54" s="100" t="s">
        <v>721</v>
      </c>
      <c r="E54" s="92" t="s">
        <v>706</v>
      </c>
      <c r="F54" s="85"/>
      <c r="H54" s="92"/>
    </row>
    <row r="55" spans="2:8">
      <c r="B55" s="103" t="s">
        <v>722</v>
      </c>
      <c r="C55" s="87">
        <v>41134</v>
      </c>
      <c r="D55" s="100" t="s">
        <v>226</v>
      </c>
      <c r="E55" s="92" t="s">
        <v>723</v>
      </c>
      <c r="F55" s="85"/>
    </row>
    <row r="56" spans="2:8">
      <c r="B56" s="103" t="s">
        <v>732</v>
      </c>
      <c r="C56" s="87">
        <v>41134</v>
      </c>
      <c r="D56" s="100" t="s">
        <v>226</v>
      </c>
      <c r="E56" s="92" t="s">
        <v>834</v>
      </c>
      <c r="F56" s="85"/>
    </row>
    <row r="57" spans="2:8">
      <c r="B57" s="103" t="s">
        <v>836</v>
      </c>
      <c r="C57" s="87">
        <v>41134</v>
      </c>
      <c r="D57" s="100" t="s">
        <v>226</v>
      </c>
      <c r="E57" s="92" t="s">
        <v>837</v>
      </c>
      <c r="F57" s="85"/>
    </row>
    <row r="58" spans="2:8">
      <c r="B58" s="103" t="s">
        <v>838</v>
      </c>
      <c r="C58" s="87">
        <v>41135</v>
      </c>
      <c r="D58" s="100" t="s">
        <v>226</v>
      </c>
      <c r="E58" s="92" t="s">
        <v>839</v>
      </c>
      <c r="F58" s="85"/>
    </row>
    <row r="59" spans="2:8">
      <c r="B59" s="103" t="s">
        <v>843</v>
      </c>
      <c r="C59" s="87">
        <v>41135</v>
      </c>
      <c r="D59" s="100" t="s">
        <v>226</v>
      </c>
      <c r="E59" s="92" t="s">
        <v>844</v>
      </c>
      <c r="F59" s="85"/>
    </row>
    <row r="60" spans="2:8">
      <c r="B60" s="103" t="s">
        <v>845</v>
      </c>
      <c r="C60" s="87">
        <v>41141</v>
      </c>
      <c r="D60" s="100" t="s">
        <v>226</v>
      </c>
      <c r="E60" s="92" t="s">
        <v>846</v>
      </c>
      <c r="F60" s="85"/>
    </row>
    <row r="61" spans="2:8">
      <c r="B61" s="109" t="s">
        <v>900</v>
      </c>
      <c r="C61" s="110">
        <v>41145</v>
      </c>
      <c r="D61" s="121" t="s">
        <v>226</v>
      </c>
      <c r="E61" s="111" t="s">
        <v>1345</v>
      </c>
      <c r="F61" s="85"/>
    </row>
    <row r="62" spans="2:8">
      <c r="B62" s="103" t="s">
        <v>1343</v>
      </c>
      <c r="C62" s="87">
        <v>41164</v>
      </c>
      <c r="D62" s="100" t="s">
        <v>230</v>
      </c>
      <c r="E62" s="92" t="s">
        <v>1344</v>
      </c>
      <c r="F62" s="85"/>
    </row>
    <row r="63" spans="2:8">
      <c r="B63" s="103" t="s">
        <v>1347</v>
      </c>
      <c r="C63" s="87">
        <v>41169</v>
      </c>
      <c r="D63" s="100" t="s">
        <v>230</v>
      </c>
      <c r="E63" s="92" t="s">
        <v>1348</v>
      </c>
      <c r="F63" s="85"/>
    </row>
    <row r="64" spans="2:8" s="92" customFormat="1">
      <c r="B64" s="103" t="s">
        <v>1346</v>
      </c>
      <c r="C64" s="87">
        <v>41169</v>
      </c>
      <c r="D64" s="100" t="s">
        <v>226</v>
      </c>
      <c r="E64" s="92" t="s">
        <v>1349</v>
      </c>
    </row>
    <row r="65" spans="1:7">
      <c r="A65" s="92"/>
      <c r="B65" s="103" t="s">
        <v>1389</v>
      </c>
      <c r="C65" s="112">
        <v>41172</v>
      </c>
      <c r="D65" s="100" t="s">
        <v>226</v>
      </c>
      <c r="E65" s="92" t="s">
        <v>1390</v>
      </c>
      <c r="F65" s="85"/>
    </row>
    <row r="66" spans="1:7">
      <c r="A66" s="92"/>
      <c r="B66" s="103" t="s">
        <v>1391</v>
      </c>
      <c r="C66" s="112">
        <v>41177</v>
      </c>
      <c r="D66" s="100" t="s">
        <v>226</v>
      </c>
      <c r="E66" s="92" t="s">
        <v>1392</v>
      </c>
      <c r="F66" s="85"/>
    </row>
    <row r="67" spans="1:7">
      <c r="A67" s="92"/>
      <c r="B67" s="103" t="s">
        <v>1437</v>
      </c>
      <c r="C67" s="87">
        <v>41200</v>
      </c>
      <c r="D67" s="100" t="s">
        <v>226</v>
      </c>
      <c r="E67" s="92" t="s">
        <v>1438</v>
      </c>
      <c r="F67" s="85"/>
    </row>
    <row r="68" spans="1:7">
      <c r="A68" s="92"/>
      <c r="B68" s="103" t="s">
        <v>1439</v>
      </c>
      <c r="C68" s="87">
        <v>41207</v>
      </c>
      <c r="D68" s="100" t="s">
        <v>226</v>
      </c>
      <c r="E68" s="92" t="s">
        <v>1440</v>
      </c>
      <c r="F68" s="85"/>
    </row>
    <row r="69" spans="1:7">
      <c r="B69" s="103" t="s">
        <v>1442</v>
      </c>
      <c r="C69" s="87">
        <v>41212</v>
      </c>
      <c r="D69" s="100" t="s">
        <v>226</v>
      </c>
      <c r="E69" s="92" t="s">
        <v>1443</v>
      </c>
      <c r="F69" s="85"/>
    </row>
    <row r="70" spans="1:7">
      <c r="B70" s="103" t="s">
        <v>1455</v>
      </c>
      <c r="C70" s="87">
        <v>41232</v>
      </c>
      <c r="D70" s="100" t="s">
        <v>226</v>
      </c>
      <c r="E70" s="92" t="s">
        <v>1456</v>
      </c>
      <c r="F70" s="85"/>
    </row>
    <row r="71" spans="1:7">
      <c r="B71" s="86" t="s">
        <v>1457</v>
      </c>
      <c r="C71" s="87">
        <v>41254</v>
      </c>
      <c r="D71" s="100" t="s">
        <v>226</v>
      </c>
      <c r="E71" s="92" t="s">
        <v>1458</v>
      </c>
      <c r="F71" s="85"/>
    </row>
    <row r="72" spans="1:7">
      <c r="B72" s="86" t="s">
        <v>1459</v>
      </c>
      <c r="C72" s="87">
        <v>41257</v>
      </c>
      <c r="D72" s="122" t="s">
        <v>226</v>
      </c>
      <c r="E72" s="92" t="s">
        <v>1472</v>
      </c>
      <c r="F72" s="85"/>
    </row>
    <row r="73" spans="1:7">
      <c r="B73" s="103" t="s">
        <v>1473</v>
      </c>
      <c r="C73" s="87">
        <v>41264</v>
      </c>
      <c r="D73" s="100" t="s">
        <v>226</v>
      </c>
      <c r="E73" s="92" t="s">
        <v>1513</v>
      </c>
      <c r="F73" s="85"/>
    </row>
    <row r="74" spans="1:7">
      <c r="B74" s="103" t="s">
        <v>1516</v>
      </c>
      <c r="C74" s="87">
        <v>41325</v>
      </c>
      <c r="D74" s="100" t="s">
        <v>226</v>
      </c>
      <c r="E74" s="92" t="s">
        <v>1517</v>
      </c>
      <c r="F74" s="108"/>
      <c r="G74" s="88"/>
    </row>
    <row r="75" spans="1:7">
      <c r="B75" s="120" t="s">
        <v>1738</v>
      </c>
      <c r="C75" s="87">
        <v>41326</v>
      </c>
      <c r="D75" s="86" t="s">
        <v>226</v>
      </c>
      <c r="E75" s="129" t="s">
        <v>1752</v>
      </c>
      <c r="F75" s="108"/>
      <c r="G75" s="92"/>
    </row>
    <row r="76" spans="1:7">
      <c r="B76" s="103" t="s">
        <v>1753</v>
      </c>
      <c r="C76" s="87">
        <v>41326</v>
      </c>
      <c r="D76" s="103" t="s">
        <v>226</v>
      </c>
      <c r="E76" s="129" t="s">
        <v>1755</v>
      </c>
      <c r="F76" s="108"/>
      <c r="G76" s="88"/>
    </row>
    <row r="77" spans="1:7">
      <c r="B77" s="103" t="s">
        <v>1754</v>
      </c>
      <c r="C77" s="87">
        <v>41334</v>
      </c>
      <c r="D77" s="86" t="s">
        <v>226</v>
      </c>
      <c r="E77" s="129" t="s">
        <v>1757</v>
      </c>
      <c r="F77" s="108"/>
      <c r="G77" s="92"/>
    </row>
    <row r="78" spans="1:7">
      <c r="B78" s="103" t="s">
        <v>1758</v>
      </c>
      <c r="C78" s="87">
        <v>41335</v>
      </c>
      <c r="D78" s="103" t="s">
        <v>226</v>
      </c>
      <c r="E78" s="129" t="s">
        <v>1759</v>
      </c>
      <c r="F78" s="108"/>
      <c r="G78" s="88"/>
    </row>
    <row r="79" spans="1:7">
      <c r="B79" s="103" t="s">
        <v>1761</v>
      </c>
      <c r="C79" s="87">
        <v>41353</v>
      </c>
      <c r="D79" s="86" t="s">
        <v>226</v>
      </c>
      <c r="E79" s="129" t="s">
        <v>1773</v>
      </c>
      <c r="F79" s="108"/>
      <c r="G79" s="92"/>
    </row>
    <row r="80" spans="1:7">
      <c r="B80" s="103" t="s">
        <v>1780</v>
      </c>
      <c r="C80" s="87">
        <v>41389</v>
      </c>
      <c r="D80" s="103" t="s">
        <v>226</v>
      </c>
      <c r="E80" s="129" t="s">
        <v>1788</v>
      </c>
      <c r="F80" s="108"/>
      <c r="G80" s="88"/>
    </row>
    <row r="81" spans="2:7">
      <c r="B81" s="103" t="s">
        <v>1807</v>
      </c>
      <c r="C81" s="87">
        <v>41347</v>
      </c>
      <c r="D81" s="103" t="s">
        <v>226</v>
      </c>
      <c r="E81" s="129" t="s">
        <v>1808</v>
      </c>
      <c r="F81" s="108"/>
      <c r="G81" s="92"/>
    </row>
    <row r="82" spans="2:7">
      <c r="B82" s="103" t="s">
        <v>1809</v>
      </c>
      <c r="C82" s="87">
        <v>41348</v>
      </c>
      <c r="D82" s="103" t="s">
        <v>226</v>
      </c>
      <c r="E82" s="129" t="s">
        <v>1810</v>
      </c>
      <c r="F82" s="108"/>
      <c r="G82" s="88"/>
    </row>
    <row r="83" spans="2:7">
      <c r="B83" s="103" t="s">
        <v>1816</v>
      </c>
      <c r="C83" s="87">
        <v>41435</v>
      </c>
      <c r="D83" s="103" t="s">
        <v>226</v>
      </c>
      <c r="E83" s="129" t="s">
        <v>1817</v>
      </c>
      <c r="F83" s="108"/>
      <c r="G83" s="92"/>
    </row>
    <row r="84" spans="2:7">
      <c r="B84" s="103" t="s">
        <v>1818</v>
      </c>
      <c r="C84" s="87">
        <v>41458</v>
      </c>
      <c r="D84" s="103" t="s">
        <v>226</v>
      </c>
      <c r="E84" s="129" t="s">
        <v>1821</v>
      </c>
      <c r="F84" s="108"/>
      <c r="G84" s="88"/>
    </row>
    <row r="85" spans="2:7">
      <c r="B85" s="103" t="s">
        <v>1822</v>
      </c>
      <c r="C85" s="87">
        <v>41463</v>
      </c>
      <c r="D85" s="103" t="s">
        <v>226</v>
      </c>
      <c r="E85" s="129" t="s">
        <v>1823</v>
      </c>
      <c r="F85" s="108"/>
      <c r="G85" s="88"/>
    </row>
    <row r="86" spans="2:7">
      <c r="B86" s="103" t="s">
        <v>1838</v>
      </c>
      <c r="C86" s="87">
        <v>41492</v>
      </c>
      <c r="D86" s="103" t="s">
        <v>226</v>
      </c>
      <c r="E86" s="129" t="s">
        <v>1881</v>
      </c>
      <c r="F86" s="108"/>
      <c r="G86" s="88"/>
    </row>
    <row r="87" spans="2:7">
      <c r="B87" s="103" t="s">
        <v>1882</v>
      </c>
      <c r="C87" s="87">
        <v>41493</v>
      </c>
      <c r="D87" s="103" t="s">
        <v>226</v>
      </c>
      <c r="E87" s="129" t="s">
        <v>1881</v>
      </c>
      <c r="F87" s="108"/>
      <c r="G87" s="92"/>
    </row>
    <row r="88" spans="2:7">
      <c r="B88" s="103" t="s">
        <v>1887</v>
      </c>
      <c r="C88" s="87">
        <v>41494</v>
      </c>
      <c r="D88" s="103" t="s">
        <v>226</v>
      </c>
      <c r="E88" s="129" t="s">
        <v>1888</v>
      </c>
      <c r="F88" s="108"/>
      <c r="G88" s="88"/>
    </row>
    <row r="89" spans="2:7">
      <c r="B89" s="103" t="s">
        <v>1889</v>
      </c>
      <c r="C89" s="87">
        <v>41494</v>
      </c>
      <c r="D89" s="86" t="s">
        <v>230</v>
      </c>
      <c r="E89" s="129" t="s">
        <v>1890</v>
      </c>
      <c r="F89" s="108"/>
      <c r="G89" s="92"/>
    </row>
    <row r="90" spans="2:7">
      <c r="B90" s="103" t="s">
        <v>1891</v>
      </c>
      <c r="C90" s="87">
        <v>41498</v>
      </c>
      <c r="D90" s="103" t="s">
        <v>226</v>
      </c>
      <c r="E90" s="129" t="s">
        <v>1892</v>
      </c>
      <c r="F90" s="108"/>
      <c r="G90" s="88"/>
    </row>
    <row r="91" spans="2:7">
      <c r="B91" s="103" t="s">
        <v>1893</v>
      </c>
      <c r="C91" s="87">
        <v>41506</v>
      </c>
      <c r="D91" s="86" t="s">
        <v>226</v>
      </c>
      <c r="E91" s="129" t="s">
        <v>1926</v>
      </c>
      <c r="F91" s="108"/>
      <c r="G91" s="92"/>
    </row>
    <row r="92" spans="2:7">
      <c r="B92" s="103" t="s">
        <v>1944</v>
      </c>
      <c r="C92" s="87">
        <v>41507</v>
      </c>
      <c r="D92" s="103" t="s">
        <v>226</v>
      </c>
      <c r="E92" s="129" t="s">
        <v>1945</v>
      </c>
      <c r="F92" s="108"/>
      <c r="G92" s="88"/>
    </row>
    <row r="93" spans="2:7">
      <c r="B93" s="103" t="s">
        <v>1946</v>
      </c>
      <c r="C93" s="87">
        <v>41512</v>
      </c>
      <c r="D93" s="103" t="s">
        <v>226</v>
      </c>
      <c r="E93" s="129" t="s">
        <v>1952</v>
      </c>
      <c r="F93" s="108"/>
      <c r="G93" s="92"/>
    </row>
    <row r="94" spans="2:7">
      <c r="B94" s="103" t="s">
        <v>1953</v>
      </c>
      <c r="C94" s="87">
        <v>41552</v>
      </c>
      <c r="D94" s="103" t="s">
        <v>226</v>
      </c>
      <c r="E94" s="129" t="s">
        <v>1975</v>
      </c>
      <c r="F94" s="108"/>
      <c r="G94" s="88"/>
    </row>
    <row r="95" spans="2:7">
      <c r="B95" s="103" t="s">
        <v>1977</v>
      </c>
      <c r="C95" s="87">
        <v>41554</v>
      </c>
      <c r="D95" s="103" t="s">
        <v>226</v>
      </c>
      <c r="E95" s="153" t="s">
        <v>1980</v>
      </c>
    </row>
    <row r="96" spans="2:7">
      <c r="B96" s="103" t="s">
        <v>1979</v>
      </c>
      <c r="C96" s="87">
        <v>41555</v>
      </c>
      <c r="D96" s="103" t="s">
        <v>226</v>
      </c>
      <c r="E96" s="153" t="s">
        <v>1982</v>
      </c>
    </row>
    <row r="97" spans="2:5">
      <c r="B97" s="103" t="s">
        <v>1983</v>
      </c>
      <c r="C97" s="87">
        <v>41569</v>
      </c>
      <c r="D97" s="103" t="s">
        <v>226</v>
      </c>
      <c r="E97" s="153" t="s">
        <v>1984</v>
      </c>
    </row>
    <row r="98" spans="2:5">
      <c r="B98" s="103" t="s">
        <v>1990</v>
      </c>
      <c r="C98" s="87">
        <v>41598</v>
      </c>
      <c r="D98" s="103" t="s">
        <v>226</v>
      </c>
      <c r="E98" s="153" t="s">
        <v>1984</v>
      </c>
    </row>
    <row r="99" spans="2:5">
      <c r="B99" s="103" t="s">
        <v>2021</v>
      </c>
      <c r="C99" s="87">
        <v>41600</v>
      </c>
      <c r="D99" s="103" t="s">
        <v>226</v>
      </c>
      <c r="E99" s="153" t="s">
        <v>2022</v>
      </c>
    </row>
    <row r="100" spans="2:5">
      <c r="B100" s="103" t="s">
        <v>2031</v>
      </c>
      <c r="C100" s="87">
        <v>41639</v>
      </c>
      <c r="D100" s="103" t="s">
        <v>226</v>
      </c>
      <c r="E100" s="153" t="s">
        <v>2032</v>
      </c>
    </row>
    <row r="101" spans="2:5">
      <c r="B101" s="103" t="s">
        <v>2045</v>
      </c>
      <c r="C101" s="87">
        <v>41646</v>
      </c>
      <c r="D101" s="103" t="s">
        <v>226</v>
      </c>
      <c r="E101" s="153" t="s">
        <v>2046</v>
      </c>
    </row>
    <row r="102" spans="2:5">
      <c r="B102" s="103" t="s">
        <v>2048</v>
      </c>
      <c r="C102" s="87">
        <v>41666</v>
      </c>
      <c r="D102" s="103" t="s">
        <v>226</v>
      </c>
      <c r="E102" s="153" t="s">
        <v>2049</v>
      </c>
    </row>
    <row r="103" spans="2:5">
      <c r="B103" s="103" t="s">
        <v>2059</v>
      </c>
      <c r="C103" s="87">
        <v>41673</v>
      </c>
      <c r="D103" s="103" t="s">
        <v>226</v>
      </c>
      <c r="E103" s="153" t="s">
        <v>2060</v>
      </c>
    </row>
    <row r="104" spans="2:5">
      <c r="B104" s="103" t="s">
        <v>2073</v>
      </c>
      <c r="C104" s="87">
        <v>41689</v>
      </c>
      <c r="D104" s="103" t="s">
        <v>226</v>
      </c>
      <c r="E104" s="153" t="s">
        <v>2074</v>
      </c>
    </row>
    <row r="105" spans="2:5">
      <c r="B105" s="103" t="s">
        <v>2080</v>
      </c>
      <c r="C105" s="112">
        <v>41713</v>
      </c>
      <c r="D105" s="103" t="s">
        <v>226</v>
      </c>
      <c r="E105" s="153" t="s">
        <v>2089</v>
      </c>
    </row>
    <row r="106" spans="2:5">
      <c r="B106" s="103" t="s">
        <v>2100</v>
      </c>
      <c r="C106" s="112">
        <v>41750</v>
      </c>
      <c r="D106" s="103" t="s">
        <v>226</v>
      </c>
      <c r="E106" s="153" t="s">
        <v>2101</v>
      </c>
    </row>
    <row r="107" spans="2:5">
      <c r="B107" s="103" t="s">
        <v>2126</v>
      </c>
      <c r="C107" s="112">
        <v>41787</v>
      </c>
      <c r="D107" s="103" t="s">
        <v>226</v>
      </c>
      <c r="E107" s="153" t="s">
        <v>2132</v>
      </c>
    </row>
    <row r="108" spans="2:5">
      <c r="B108" s="103" t="s">
        <v>2151</v>
      </c>
      <c r="C108" s="112">
        <v>41801</v>
      </c>
      <c r="D108" s="103" t="s">
        <v>226</v>
      </c>
      <c r="E108" s="153" t="s">
        <v>2152</v>
      </c>
    </row>
    <row r="109" spans="2:5">
      <c r="B109" s="103"/>
    </row>
    <row r="110" spans="2:5">
      <c r="B110" s="103"/>
    </row>
    <row r="111" spans="2:5">
      <c r="B111" s="103"/>
    </row>
    <row r="112" spans="2:5">
      <c r="B112" s="103"/>
    </row>
    <row r="113" spans="2:2">
      <c r="B113" s="103"/>
    </row>
    <row r="114" spans="2:2">
      <c r="B114" s="103"/>
    </row>
    <row r="115" spans="2:2">
      <c r="B115" s="103"/>
    </row>
    <row r="116" spans="2:2">
      <c r="B116" s="103"/>
    </row>
    <row r="117" spans="2:2">
      <c r="B117" s="103"/>
    </row>
    <row r="118" spans="2:2">
      <c r="B118" s="103"/>
    </row>
    <row r="119" spans="2:2">
      <c r="B119" s="103"/>
    </row>
    <row r="120" spans="2:2">
      <c r="B120" s="103"/>
    </row>
    <row r="121" spans="2:2">
      <c r="B121" s="103"/>
    </row>
    <row r="122" spans="2:2">
      <c r="B122" s="103"/>
    </row>
    <row r="123" spans="2:2">
      <c r="B123" s="103"/>
    </row>
    <row r="124" spans="2:2">
      <c r="B124" s="103"/>
    </row>
    <row r="125" spans="2:2">
      <c r="B125" s="103"/>
    </row>
    <row r="126" spans="2:2">
      <c r="B126" s="103"/>
    </row>
    <row r="127" spans="2:2">
      <c r="B127" s="103"/>
    </row>
    <row r="128" spans="2:2">
      <c r="B128" s="103"/>
    </row>
    <row r="129" spans="2:2">
      <c r="B129" s="103"/>
    </row>
    <row r="130" spans="2:2">
      <c r="B130" s="103"/>
    </row>
    <row r="131" spans="2:2">
      <c r="B131" s="103"/>
    </row>
    <row r="132" spans="2:2">
      <c r="B132" s="103"/>
    </row>
    <row r="133" spans="2:2">
      <c r="B133" s="103"/>
    </row>
    <row r="134" spans="2:2">
      <c r="B134" s="103"/>
    </row>
    <row r="135" spans="2:2">
      <c r="B135" s="103"/>
    </row>
    <row r="136" spans="2:2">
      <c r="B136" s="103"/>
    </row>
    <row r="137" spans="2:2">
      <c r="B137" s="103"/>
    </row>
    <row r="138" spans="2:2">
      <c r="B138" s="103"/>
    </row>
    <row r="139" spans="2:2">
      <c r="B139" s="103"/>
    </row>
    <row r="140" spans="2:2">
      <c r="B140" s="103"/>
    </row>
    <row r="141" spans="2:2">
      <c r="B141" s="103"/>
    </row>
    <row r="142" spans="2:2">
      <c r="B142" s="103"/>
    </row>
    <row r="143" spans="2:2">
      <c r="B143" s="103"/>
    </row>
    <row r="144" spans="2:2">
      <c r="B144" s="103"/>
    </row>
  </sheetData>
  <dataConsolidate/>
  <pageMargins left="0.75" right="0.75" top="1" bottom="1" header="0.5" footer="0.5"/>
  <pageSetup orientation="portrait" horizontalDpi="4294967292" verticalDpi="4294967292"/>
  <headerFooter alignWithMargins="0">
    <oddHeader>&amp;L&amp;"nokia pure text,Bold"&amp;K99CC33MirrorLink CTS TRSL&amp;C&amp;"arial,Bold"&amp;10&amp;K3E8430Nokia Internal Use Only</oddHeader>
    <oddFooter>&amp;L&amp;"nokia pure text,Bold"&amp;10&amp;K99CC33Company Confidential&amp;C&amp;"arial,Bold"&amp;10&amp;K3E8430Nokia Internal Use Only</oddFooter>
    <evenHeader>&amp;C&amp;"arial,Bold"&amp;10&amp;K3E8430Nokia Internal Use Only&amp;L&amp;"nokia pure text,Bold"&amp;K99CC33MirrorLink CTS TRSL</evenHeader>
    <evenFooter>&amp;L&amp;"nokia pure text,Bold"&amp;10&amp;K99CC33Company Confidential&amp;C&amp;"arial,Bold"&amp;10&amp;K3E8430Nokia Internal Use Only</evenFooter>
    <firstHeader>&amp;C&amp;"arial,Bold"&amp;10&amp;K3E8430Nokia Internal Use Only&amp;L&amp;"nokia pure text,Bold"&amp;K99CC33MirrorLink CTS TRSL</firstHeader>
    <firstFooter>&amp;L&amp;"nokia pure text,Bold"&amp;10&amp;K99CC33Company Confidential&amp;C&amp;"arial,Bold"&amp;10&amp;K3E8430Nokia Internal Use Only</firstFooter>
  </headerFooter>
  <ignoredErrors>
    <ignoredError sqref="B43 B44:B45" numberStoredAsText="1"/>
  </ignoredErrors>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53"/>
  <sheetViews>
    <sheetView topLeftCell="A21" workbookViewId="0">
      <selection activeCell="B9" sqref="B9"/>
    </sheetView>
  </sheetViews>
  <sheetFormatPr baseColWidth="10" defaultColWidth="9.1640625" defaultRowHeight="14" x14ac:dyDescent="0"/>
  <cols>
    <col min="1" max="1" width="23.5" customWidth="1"/>
    <col min="2" max="2" width="89.5" style="1" customWidth="1"/>
  </cols>
  <sheetData>
    <row r="1" spans="1:2" ht="21">
      <c r="A1" s="7" t="s">
        <v>849</v>
      </c>
    </row>
    <row r="2" spans="1:2" ht="50" customHeight="1">
      <c r="A2" s="265" t="s">
        <v>847</v>
      </c>
      <c r="B2" s="266"/>
    </row>
    <row r="3" spans="1:2" ht="15">
      <c r="A3" s="264" t="s">
        <v>848</v>
      </c>
      <c r="B3" s="266"/>
    </row>
    <row r="4" spans="1:2" ht="15">
      <c r="A4" s="265" t="s">
        <v>2015</v>
      </c>
      <c r="B4" s="266"/>
    </row>
    <row r="5" spans="1:2" ht="21">
      <c r="A5" s="7" t="s">
        <v>860</v>
      </c>
      <c r="B5" s="13"/>
    </row>
    <row r="6" spans="1:2" ht="15">
      <c r="A6" s="65" t="s">
        <v>893</v>
      </c>
      <c r="B6" s="65" t="s">
        <v>224</v>
      </c>
    </row>
    <row r="7" spans="1:2" ht="15">
      <c r="A7" s="30" t="s">
        <v>850</v>
      </c>
      <c r="B7" s="30" t="s">
        <v>851</v>
      </c>
    </row>
    <row r="8" spans="1:2" ht="15">
      <c r="A8" s="30" t="s">
        <v>852</v>
      </c>
      <c r="B8" s="30" t="s">
        <v>853</v>
      </c>
    </row>
    <row r="9" spans="1:2" ht="15">
      <c r="A9" s="30" t="s">
        <v>854</v>
      </c>
      <c r="B9" s="30" t="s">
        <v>855</v>
      </c>
    </row>
    <row r="10" spans="1:2" ht="15">
      <c r="A10" s="30" t="s">
        <v>856</v>
      </c>
      <c r="B10" s="30" t="s">
        <v>857</v>
      </c>
    </row>
    <row r="11" spans="1:2" ht="15">
      <c r="A11" s="30" t="s">
        <v>858</v>
      </c>
      <c r="B11" s="30" t="s">
        <v>859</v>
      </c>
    </row>
    <row r="12" spans="1:2" ht="15">
      <c r="A12" s="30" t="s">
        <v>861</v>
      </c>
      <c r="B12" s="30" t="s">
        <v>862</v>
      </c>
    </row>
    <row r="13" spans="1:2" ht="15">
      <c r="A13" s="30" t="s">
        <v>863</v>
      </c>
      <c r="B13" s="30" t="s">
        <v>864</v>
      </c>
    </row>
    <row r="14" spans="1:2" ht="15">
      <c r="A14" s="74" t="s">
        <v>1330</v>
      </c>
      <c r="B14" s="74" t="s">
        <v>1332</v>
      </c>
    </row>
    <row r="15" spans="1:2" ht="15">
      <c r="A15" s="74" t="s">
        <v>1331</v>
      </c>
      <c r="B15" s="74" t="s">
        <v>1333</v>
      </c>
    </row>
    <row r="16" spans="1:2" ht="15">
      <c r="A16" s="30" t="s">
        <v>865</v>
      </c>
      <c r="B16" s="30" t="s">
        <v>866</v>
      </c>
    </row>
    <row r="17" spans="1:2" ht="21">
      <c r="A17" s="7" t="s">
        <v>867</v>
      </c>
      <c r="B17" s="30"/>
    </row>
    <row r="18" spans="1:2" ht="52" customHeight="1">
      <c r="A18" s="264" t="s">
        <v>868</v>
      </c>
      <c r="B18" s="266"/>
    </row>
    <row r="19" spans="1:2" ht="21">
      <c r="A19" s="7" t="s">
        <v>869</v>
      </c>
      <c r="B19" s="30"/>
    </row>
    <row r="20" spans="1:2" ht="52" customHeight="1">
      <c r="A20" s="264" t="s">
        <v>870</v>
      </c>
      <c r="B20" s="266"/>
    </row>
    <row r="21" spans="1:2">
      <c r="A21" s="267" t="s">
        <v>874</v>
      </c>
      <c r="B21" s="267"/>
    </row>
    <row r="22" spans="1:2" ht="21">
      <c r="A22" s="7" t="s">
        <v>833</v>
      </c>
      <c r="B22" s="7"/>
    </row>
    <row r="23" spans="1:2" ht="63" customHeight="1">
      <c r="A23" s="267" t="s">
        <v>885</v>
      </c>
      <c r="B23" s="267"/>
    </row>
    <row r="24" spans="1:2">
      <c r="A24" s="269" t="s">
        <v>884</v>
      </c>
      <c r="B24" s="269"/>
    </row>
    <row r="25" spans="1:2">
      <c r="A25" s="4" t="s">
        <v>3</v>
      </c>
      <c r="B25" s="2" t="s">
        <v>75</v>
      </c>
    </row>
    <row r="26" spans="1:2">
      <c r="A26" s="4" t="s">
        <v>4</v>
      </c>
      <c r="B26" s="2" t="s">
        <v>76</v>
      </c>
    </row>
    <row r="27" spans="1:2">
      <c r="A27" s="5" t="s">
        <v>73</v>
      </c>
      <c r="B27" s="3" t="s">
        <v>77</v>
      </c>
    </row>
    <row r="28" spans="1:2">
      <c r="A28" s="5" t="s">
        <v>74</v>
      </c>
      <c r="B28" s="3" t="s">
        <v>78</v>
      </c>
    </row>
    <row r="29" spans="1:2">
      <c r="A29" s="10" t="s">
        <v>71</v>
      </c>
      <c r="B29" s="11" t="s">
        <v>79</v>
      </c>
    </row>
    <row r="30" spans="1:2" ht="14" customHeight="1">
      <c r="A30" s="267" t="s">
        <v>871</v>
      </c>
      <c r="B30" s="267"/>
    </row>
    <row r="31" spans="1:2" ht="47" customHeight="1">
      <c r="A31" s="267" t="s">
        <v>875</v>
      </c>
      <c r="B31" s="267"/>
    </row>
    <row r="32" spans="1:2" ht="21">
      <c r="A32" s="7" t="s">
        <v>872</v>
      </c>
      <c r="B32" s="7"/>
    </row>
    <row r="33" spans="1:2" ht="50" customHeight="1">
      <c r="A33" s="267" t="s">
        <v>877</v>
      </c>
      <c r="B33" s="267"/>
    </row>
    <row r="34" spans="1:2" ht="29" customHeight="1">
      <c r="A34" s="267" t="s">
        <v>873</v>
      </c>
      <c r="B34" s="267"/>
    </row>
    <row r="35" spans="1:2" ht="32" customHeight="1">
      <c r="A35" s="267" t="s">
        <v>876</v>
      </c>
      <c r="B35" s="267"/>
    </row>
    <row r="36" spans="1:2" ht="21">
      <c r="A36" s="268" t="s">
        <v>878</v>
      </c>
      <c r="B36" s="268"/>
    </row>
    <row r="37" spans="1:2" ht="31" customHeight="1">
      <c r="A37" s="264" t="s">
        <v>879</v>
      </c>
      <c r="B37" s="264"/>
    </row>
    <row r="38" spans="1:2" ht="15">
      <c r="A38" s="66" t="s">
        <v>888</v>
      </c>
      <c r="B38" s="67" t="s">
        <v>224</v>
      </c>
    </row>
    <row r="39" spans="1:2" ht="35" customHeight="1">
      <c r="A39" s="61" t="s">
        <v>881</v>
      </c>
      <c r="B39" s="31" t="s">
        <v>880</v>
      </c>
    </row>
    <row r="40" spans="1:2" ht="59" customHeight="1">
      <c r="A40" s="61" t="s">
        <v>882</v>
      </c>
      <c r="B40" s="31" t="s">
        <v>883</v>
      </c>
    </row>
    <row r="41" spans="1:2" ht="31" customHeight="1">
      <c r="A41" s="264" t="s">
        <v>889</v>
      </c>
      <c r="B41" s="264"/>
    </row>
    <row r="42" spans="1:2" ht="15">
      <c r="A42" s="264" t="s">
        <v>890</v>
      </c>
      <c r="B42" s="264"/>
    </row>
    <row r="43" spans="1:2" ht="33" customHeight="1">
      <c r="A43" s="264" t="s">
        <v>891</v>
      </c>
      <c r="B43" s="264"/>
    </row>
    <row r="44" spans="1:2" ht="15">
      <c r="A44" s="66" t="s">
        <v>899</v>
      </c>
      <c r="B44" s="67" t="s">
        <v>546</v>
      </c>
    </row>
    <row r="45" spans="1:2" ht="15">
      <c r="A45" s="62" t="s">
        <v>547</v>
      </c>
      <c r="B45" s="63" t="s">
        <v>894</v>
      </c>
    </row>
    <row r="46" spans="1:2" ht="15">
      <c r="A46" s="62" t="s">
        <v>548</v>
      </c>
      <c r="B46" s="31" t="s">
        <v>892</v>
      </c>
    </row>
    <row r="47" spans="1:2" ht="15">
      <c r="A47" s="64" t="s">
        <v>831</v>
      </c>
      <c r="B47" s="63" t="s">
        <v>895</v>
      </c>
    </row>
    <row r="48" spans="1:2" ht="15">
      <c r="A48" s="64" t="s">
        <v>1326</v>
      </c>
      <c r="B48" s="63" t="s">
        <v>1327</v>
      </c>
    </row>
    <row r="49" spans="1:2" ht="30">
      <c r="A49" s="62" t="s">
        <v>549</v>
      </c>
      <c r="B49" s="63" t="s">
        <v>897</v>
      </c>
    </row>
    <row r="50" spans="1:2" ht="30">
      <c r="A50" s="62" t="s">
        <v>550</v>
      </c>
      <c r="B50" s="63" t="s">
        <v>898</v>
      </c>
    </row>
    <row r="51" spans="1:2" ht="30">
      <c r="A51" s="64" t="s">
        <v>832</v>
      </c>
      <c r="B51" s="63" t="s">
        <v>896</v>
      </c>
    </row>
    <row r="52" spans="1:2" ht="30">
      <c r="A52" s="64" t="s">
        <v>1328</v>
      </c>
      <c r="B52" s="63" t="s">
        <v>1329</v>
      </c>
    </row>
    <row r="53" spans="1:2">
      <c r="A53" s="6"/>
      <c r="B53" s="12"/>
    </row>
  </sheetData>
  <mergeCells count="18">
    <mergeCell ref="A21:B21"/>
    <mergeCell ref="A24:B24"/>
    <mergeCell ref="A43:B43"/>
    <mergeCell ref="A42:B42"/>
    <mergeCell ref="A2:B2"/>
    <mergeCell ref="A4:B4"/>
    <mergeCell ref="A34:B34"/>
    <mergeCell ref="A35:B35"/>
    <mergeCell ref="A41:B41"/>
    <mergeCell ref="A23:B23"/>
    <mergeCell ref="A36:B36"/>
    <mergeCell ref="A37:B37"/>
    <mergeCell ref="A18:B18"/>
    <mergeCell ref="A20:B20"/>
    <mergeCell ref="A30:B30"/>
    <mergeCell ref="A33:B33"/>
    <mergeCell ref="A31:B31"/>
    <mergeCell ref="A3:B3"/>
  </mergeCells>
  <pageMargins left="0.7" right="0.7" top="0.75" bottom="0.75" header="0.3" footer="0.3"/>
  <pageSetup orientation="portrait"/>
  <headerFooter>
    <oddHeader>&amp;L&amp;"nokia pure text,Bold"&amp;10&amp;K99CC33Company Confidential&amp;C&amp;"arial,Bold"&amp;10&amp;K3E8430Nokia Internal Use Only</oddHeader>
    <oddFooter>&amp;L&amp;"nokia pure text,Bold"&amp;10&amp;K99CC33Company Confidential&amp;C&amp;"arial,Bold"&amp;10&amp;K3E8430Nokia Internal Use Only</oddFooter>
    <evenHeader>&amp;L&amp;"nokia pure text,Bold"&amp;10&amp;K99CC33Company Confidential&amp;C&amp;"arial,Bold"&amp;10&amp;K3E8430Nokia Internal Use Only</evenHeader>
    <evenFooter>&amp;L&amp;"nokia pure text,Bold"&amp;10&amp;K99CC33Company Confidential&amp;C&amp;"arial,Bold"&amp;10&amp;K3E8430Nokia Internal Use Only</evenFooter>
    <firstHeader>&amp;L&amp;"nokia pure text,Bold"&amp;10&amp;K99CC33Company Confidential&amp;C&amp;"arial,Bold"&amp;10&amp;K3E8430Nokia Internal Use Only</firstHeader>
    <firstFooter>&amp;L&amp;"nokia pure text,Bold"&amp;10&amp;K99CC33Company Confidential&amp;C&amp;"arial,Bold"&amp;10&amp;K3E8430Nokia Internal Use Only</firstFooter>
  </headerFooter>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B48"/>
  <sheetViews>
    <sheetView workbookViewId="0">
      <selection activeCell="B45" sqref="B45"/>
    </sheetView>
  </sheetViews>
  <sheetFormatPr baseColWidth="10" defaultColWidth="9.1640625" defaultRowHeight="14" x14ac:dyDescent="0"/>
  <cols>
    <col min="1" max="1" width="34.33203125" customWidth="1"/>
    <col min="2" max="2" width="66.1640625" customWidth="1"/>
  </cols>
  <sheetData>
    <row r="1" spans="1:2" ht="44.25" customHeight="1" thickTop="1" thickBot="1">
      <c r="A1" s="26" t="s">
        <v>10</v>
      </c>
      <c r="B1" s="27" t="s">
        <v>17</v>
      </c>
    </row>
    <row r="2" spans="1:2" ht="15" thickTop="1">
      <c r="A2" s="56" t="s">
        <v>11</v>
      </c>
      <c r="B2" s="68"/>
    </row>
    <row r="3" spans="1:2">
      <c r="A3" s="56"/>
      <c r="B3" s="68"/>
    </row>
    <row r="4" spans="1:2">
      <c r="A4" s="56" t="s">
        <v>2081</v>
      </c>
      <c r="B4" s="68"/>
    </row>
    <row r="5" spans="1:2">
      <c r="A5" s="57" t="s">
        <v>18</v>
      </c>
      <c r="B5" s="68"/>
    </row>
    <row r="6" spans="1:2">
      <c r="A6" s="57" t="s">
        <v>2082</v>
      </c>
      <c r="B6" s="68"/>
    </row>
    <row r="7" spans="1:2">
      <c r="A7" s="57" t="s">
        <v>2083</v>
      </c>
      <c r="B7" s="68"/>
    </row>
    <row r="8" spans="1:2">
      <c r="A8" s="57"/>
      <c r="B8" s="68"/>
    </row>
    <row r="9" spans="1:2">
      <c r="A9" s="56" t="s">
        <v>2084</v>
      </c>
      <c r="B9" s="68"/>
    </row>
    <row r="10" spans="1:2">
      <c r="A10" s="56" t="s">
        <v>2088</v>
      </c>
      <c r="B10" s="68"/>
    </row>
    <row r="11" spans="1:2">
      <c r="A11" s="56" t="s">
        <v>2085</v>
      </c>
      <c r="B11" s="68"/>
    </row>
    <row r="12" spans="1:2">
      <c r="A12" s="56" t="s">
        <v>2086</v>
      </c>
      <c r="B12" s="68"/>
    </row>
    <row r="13" spans="1:2">
      <c r="A13" s="56" t="s">
        <v>2087</v>
      </c>
      <c r="B13" s="68"/>
    </row>
    <row r="14" spans="1:2">
      <c r="A14" s="56" t="s">
        <v>2090</v>
      </c>
      <c r="B14" s="68"/>
    </row>
    <row r="15" spans="1:2">
      <c r="A15" s="56"/>
      <c r="B15" s="68"/>
    </row>
    <row r="16" spans="1:2">
      <c r="A16" s="56" t="s">
        <v>224</v>
      </c>
      <c r="B16" s="68"/>
    </row>
    <row r="17" spans="1:2">
      <c r="A17" s="56"/>
      <c r="B17" s="68"/>
    </row>
    <row r="18" spans="1:2">
      <c r="A18" s="57" t="s">
        <v>12</v>
      </c>
      <c r="B18" s="69"/>
    </row>
    <row r="19" spans="1:2">
      <c r="A19" s="58" t="s">
        <v>13</v>
      </c>
      <c r="B19" s="69"/>
    </row>
    <row r="20" spans="1:2">
      <c r="A20" s="57" t="s">
        <v>14</v>
      </c>
      <c r="B20" s="69"/>
    </row>
    <row r="21" spans="1:2">
      <c r="A21" s="57" t="s">
        <v>15</v>
      </c>
      <c r="B21" s="69"/>
    </row>
    <row r="22" spans="1:2">
      <c r="A22" s="58" t="s">
        <v>16</v>
      </c>
      <c r="B22" s="69"/>
    </row>
    <row r="23" spans="1:2">
      <c r="A23" s="59"/>
      <c r="B23" s="69"/>
    </row>
    <row r="24" spans="1:2">
      <c r="A24" s="59" t="s">
        <v>842</v>
      </c>
      <c r="B24" s="69"/>
    </row>
    <row r="25" spans="1:2">
      <c r="A25" s="59" t="s">
        <v>841</v>
      </c>
      <c r="B25" s="69"/>
    </row>
    <row r="26" spans="1:2">
      <c r="A26" s="59" t="s">
        <v>840</v>
      </c>
      <c r="B26" s="69"/>
    </row>
    <row r="27" spans="1:2">
      <c r="A27" s="59"/>
      <c r="B27" s="70"/>
    </row>
    <row r="28" spans="1:2">
      <c r="A28" s="128" t="s">
        <v>1674</v>
      </c>
      <c r="B28" s="70"/>
    </row>
    <row r="29" spans="1:2">
      <c r="A29" s="59" t="s">
        <v>1675</v>
      </c>
      <c r="B29" s="70"/>
    </row>
    <row r="30" spans="1:2">
      <c r="A30" s="59" t="s">
        <v>1676</v>
      </c>
      <c r="B30" s="70"/>
    </row>
    <row r="31" spans="1:2">
      <c r="A31" s="59" t="s">
        <v>1677</v>
      </c>
      <c r="B31" s="70"/>
    </row>
    <row r="32" spans="1:2">
      <c r="A32" s="59" t="s">
        <v>1681</v>
      </c>
      <c r="B32" s="70"/>
    </row>
    <row r="33" spans="1:2">
      <c r="A33" s="59" t="s">
        <v>1678</v>
      </c>
      <c r="B33" s="70"/>
    </row>
    <row r="34" spans="1:2">
      <c r="A34" s="59" t="s">
        <v>1680</v>
      </c>
      <c r="B34" s="70"/>
    </row>
    <row r="35" spans="1:2">
      <c r="A35" s="59" t="s">
        <v>1679</v>
      </c>
      <c r="B35" s="70"/>
    </row>
    <row r="36" spans="1:2">
      <c r="A36" s="59" t="s">
        <v>1682</v>
      </c>
      <c r="B36" s="70"/>
    </row>
    <row r="37" spans="1:2">
      <c r="A37" s="59" t="s">
        <v>1683</v>
      </c>
      <c r="B37" s="70"/>
    </row>
    <row r="38" spans="1:2">
      <c r="A38" s="59"/>
      <c r="B38" s="70"/>
    </row>
    <row r="39" spans="1:2" ht="15" thickBot="1">
      <c r="A39" s="60" t="s">
        <v>19</v>
      </c>
      <c r="B39" s="71" t="s">
        <v>1</v>
      </c>
    </row>
    <row r="40" spans="1:2" ht="15" thickTop="1">
      <c r="B40" s="1"/>
    </row>
    <row r="41" spans="1:2">
      <c r="B41" s="1"/>
    </row>
    <row r="42" spans="1:2">
      <c r="B42" s="270" t="s">
        <v>886</v>
      </c>
    </row>
    <row r="43" spans="1:2">
      <c r="B43" s="271"/>
    </row>
    <row r="44" spans="1:2">
      <c r="B44" s="73"/>
    </row>
    <row r="45" spans="1:2">
      <c r="B45" s="73"/>
    </row>
    <row r="46" spans="1:2">
      <c r="B46" s="270" t="s">
        <v>887</v>
      </c>
    </row>
    <row r="47" spans="1:2">
      <c r="B47" s="271"/>
    </row>
    <row r="48" spans="1:2">
      <c r="B48" s="1"/>
    </row>
  </sheetData>
  <sheetProtection formatColumns="0" formatRows="0"/>
  <mergeCells count="2">
    <mergeCell ref="B42:B43"/>
    <mergeCell ref="B46:B47"/>
  </mergeCells>
  <dataValidations count="1">
    <dataValidation type="list" allowBlank="1" showInputMessage="1" showErrorMessage="1" sqref="B39">
      <formula1>"Client,Server"</formula1>
    </dataValidation>
  </dataValidations>
  <pageMargins left="0.7" right="0.7" top="0.75" bottom="0.75" header="0.3" footer="0.3"/>
  <pageSetup orientation="portrait"/>
  <headerFooter>
    <oddHeader>&amp;L&amp;"nokia pure text,Bold"&amp;10&amp;K99CC33Company Confidential&amp;C&amp;"arial,Bold"&amp;10&amp;K3E8430Nokia Internal Use Only</oddHeader>
    <oddFooter>&amp;L&amp;"nokia pure text,Bold"&amp;10&amp;K99CC33Company Confidential&amp;C&amp;"arial,Bold"&amp;10&amp;K3E8430Nokia Internal Use Only</oddFooter>
    <evenHeader>&amp;L&amp;"nokia pure text,Bold"&amp;10&amp;K99CC33Company Confidential&amp;C&amp;"arial,Bold"&amp;10&amp;K3E8430Nokia Internal Use Only</evenHeader>
    <evenFooter>&amp;L&amp;"nokia pure text,Bold"&amp;10&amp;K99CC33Company Confidential&amp;C&amp;"arial,Bold"&amp;10&amp;K3E8430Nokia Internal Use Only</evenFooter>
    <firstHeader>&amp;L&amp;"nokia pure text,Bold"&amp;10&amp;K99CC33Company Confidential&amp;C&amp;"arial,Bold"&amp;10&amp;K3E8430Nokia Internal Use Only</firstHeader>
    <firstFooter>&amp;L&amp;"nokia pure text,Bold"&amp;10&amp;K99CC33Company Confidential&amp;C&amp;"arial,Bold"&amp;10&amp;K3E8430Nokia Internal Use Only</first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6" r:id="rId3" name="Button 4">
              <controlPr defaultSize="0" print="0" autoFill="0" autoPict="0" macro="[0]!ExportPICStoXML">
                <anchor moveWithCells="1" sizeWithCells="1">
                  <from>
                    <xdr:col>0</xdr:col>
                    <xdr:colOff>254000</xdr:colOff>
                    <xdr:row>40</xdr:row>
                    <xdr:rowOff>114300</xdr:rowOff>
                  </from>
                  <to>
                    <xdr:col>0</xdr:col>
                    <xdr:colOff>2514600</xdr:colOff>
                    <xdr:row>43</xdr:row>
                    <xdr:rowOff>25400</xdr:rowOff>
                  </to>
                </anchor>
              </controlPr>
            </control>
          </mc:Choice>
          <mc:Fallback/>
        </mc:AlternateContent>
        <mc:AlternateContent xmlns:mc="http://schemas.openxmlformats.org/markup-compatibility/2006">
          <mc:Choice Requires="x14">
            <control shapeId="3080" r:id="rId4" name="Button 8">
              <controlPr defaultSize="0" print="0" autoFill="0" autoPict="0" macro="[0]!ExportPIXITtoXML">
                <anchor moveWithCells="1" sizeWithCells="1">
                  <from>
                    <xdr:col>0</xdr:col>
                    <xdr:colOff>279400</xdr:colOff>
                    <xdr:row>44</xdr:row>
                    <xdr:rowOff>101600</xdr:rowOff>
                  </from>
                  <to>
                    <xdr:col>0</xdr:col>
                    <xdr:colOff>2501900</xdr:colOff>
                    <xdr:row>47</xdr:row>
                    <xdr:rowOff>38100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P271"/>
  <sheetViews>
    <sheetView workbookViewId="0">
      <pane xSplit="7" ySplit="1" topLeftCell="H200" activePane="bottomRight" state="frozen"/>
      <selection activeCell="C140" sqref="C140"/>
      <selection pane="topRight" activeCell="C140" sqref="C140"/>
      <selection pane="bottomLeft" activeCell="C140" sqref="C140"/>
      <selection pane="bottomRight" activeCell="A250" sqref="A250:XFD250"/>
    </sheetView>
  </sheetViews>
  <sheetFormatPr baseColWidth="10" defaultColWidth="9.1640625" defaultRowHeight="14" x14ac:dyDescent="0"/>
  <cols>
    <col min="1" max="2" width="10.6640625" style="234" customWidth="1"/>
    <col min="3" max="6" width="3.33203125" style="252" customWidth="1"/>
    <col min="7" max="7" width="43.83203125" style="253" customWidth="1"/>
    <col min="8" max="8" width="12.6640625" style="237" customWidth="1"/>
    <col min="9" max="9" width="15.6640625" style="25" customWidth="1"/>
    <col min="10" max="10" width="6.6640625" style="143" hidden="1" customWidth="1"/>
    <col min="11" max="11" width="12.33203125" style="143" hidden="1" customWidth="1"/>
    <col min="12" max="12" width="15.1640625" style="143" hidden="1" customWidth="1"/>
    <col min="13" max="13" width="50.33203125" style="142" customWidth="1"/>
    <col min="14" max="14" width="33.83203125" style="143" bestFit="1" customWidth="1"/>
    <col min="15" max="15" width="8.1640625" style="143" customWidth="1"/>
    <col min="16" max="16" width="11" style="143" customWidth="1"/>
    <col min="17" max="16384" width="9.1640625" style="231"/>
  </cols>
  <sheetData>
    <row r="1" spans="1:16" ht="29" customHeight="1" thickBot="1">
      <c r="A1" s="175" t="s">
        <v>0</v>
      </c>
      <c r="B1" s="137" t="s">
        <v>92</v>
      </c>
      <c r="C1" s="283" t="s">
        <v>70</v>
      </c>
      <c r="D1" s="283"/>
      <c r="E1" s="283"/>
      <c r="F1" s="283"/>
      <c r="G1" s="283"/>
      <c r="H1" s="137" t="s">
        <v>93</v>
      </c>
      <c r="I1" s="159" t="s">
        <v>20</v>
      </c>
      <c r="M1" s="136" t="s">
        <v>231</v>
      </c>
      <c r="N1" s="176" t="s">
        <v>1334</v>
      </c>
      <c r="O1" s="177" t="s">
        <v>1853</v>
      </c>
      <c r="P1" s="177" t="s">
        <v>1951</v>
      </c>
    </row>
    <row r="2" spans="1:16">
      <c r="A2" s="178" t="s">
        <v>1</v>
      </c>
      <c r="B2" s="178" t="s">
        <v>80</v>
      </c>
      <c r="C2" s="284" t="s">
        <v>81</v>
      </c>
      <c r="D2" s="284"/>
      <c r="E2" s="284"/>
      <c r="F2" s="284"/>
      <c r="G2" s="284"/>
      <c r="H2" s="179" t="s">
        <v>3</v>
      </c>
      <c r="I2" s="23" t="s">
        <v>90</v>
      </c>
      <c r="J2" s="143" t="s">
        <v>90</v>
      </c>
      <c r="K2" s="143" t="s">
        <v>3</v>
      </c>
      <c r="L2" s="143" t="s">
        <v>90</v>
      </c>
      <c r="M2" s="180" t="s">
        <v>558</v>
      </c>
      <c r="N2" s="139" t="str">
        <f>IF(I2&lt;&gt;"Yes","Required feature.","")</f>
        <v>Required feature.</v>
      </c>
      <c r="O2" s="151"/>
      <c r="P2" s="151"/>
    </row>
    <row r="3" spans="1:16">
      <c r="A3" s="181" t="s">
        <v>1</v>
      </c>
      <c r="B3" s="181" t="s">
        <v>80</v>
      </c>
      <c r="C3" s="182"/>
      <c r="D3" s="279" t="s">
        <v>96</v>
      </c>
      <c r="E3" s="279"/>
      <c r="F3" s="279"/>
      <c r="G3" s="279"/>
      <c r="H3" s="183" t="s">
        <v>3</v>
      </c>
      <c r="I3" s="24" t="s">
        <v>90</v>
      </c>
      <c r="J3" s="143" t="s">
        <v>89</v>
      </c>
      <c r="K3" s="143" t="s">
        <v>4</v>
      </c>
      <c r="L3" s="143" t="s">
        <v>105</v>
      </c>
      <c r="M3" s="138" t="s">
        <v>559</v>
      </c>
      <c r="N3" s="140" t="str">
        <f>IF(I3&lt;&gt;"Yes","Required feature.","")</f>
        <v>Required feature.</v>
      </c>
      <c r="O3" s="140"/>
      <c r="P3" s="140"/>
    </row>
    <row r="4" spans="1:16">
      <c r="A4" s="181" t="s">
        <v>1</v>
      </c>
      <c r="B4" s="181" t="s">
        <v>80</v>
      </c>
      <c r="C4" s="182"/>
      <c r="D4" s="182"/>
      <c r="E4" s="279" t="s">
        <v>82</v>
      </c>
      <c r="F4" s="279"/>
      <c r="G4" s="279"/>
      <c r="H4" s="183" t="s">
        <v>3</v>
      </c>
      <c r="I4" s="24" t="s">
        <v>90</v>
      </c>
      <c r="J4" s="143" t="s">
        <v>88</v>
      </c>
      <c r="K4" s="143" t="s">
        <v>94</v>
      </c>
      <c r="L4" s="143" t="s">
        <v>106</v>
      </c>
      <c r="M4" s="138" t="s">
        <v>560</v>
      </c>
      <c r="N4" s="140" t="str">
        <f>IF(I4&lt;&gt;"Yes","Required feature.","")</f>
        <v>Required feature.</v>
      </c>
      <c r="O4" s="140"/>
      <c r="P4" s="140"/>
    </row>
    <row r="5" spans="1:16">
      <c r="A5" s="181" t="s">
        <v>1</v>
      </c>
      <c r="B5" s="181" t="s">
        <v>80</v>
      </c>
      <c r="C5" s="182"/>
      <c r="D5" s="182"/>
      <c r="E5" s="279" t="s">
        <v>25</v>
      </c>
      <c r="F5" s="279"/>
      <c r="G5" s="279"/>
      <c r="H5" s="183" t="s">
        <v>3</v>
      </c>
      <c r="I5" s="24" t="s">
        <v>90</v>
      </c>
      <c r="K5" s="143" t="s">
        <v>91</v>
      </c>
      <c r="M5" s="138" t="s">
        <v>724</v>
      </c>
      <c r="N5" s="140" t="str">
        <f>IF(I5&lt;&gt;"Yes","Required feature.","")</f>
        <v>Required feature.</v>
      </c>
      <c r="O5" s="140"/>
      <c r="P5" s="140"/>
    </row>
    <row r="6" spans="1:16" s="184" customFormat="1">
      <c r="A6" s="181" t="s">
        <v>1</v>
      </c>
      <c r="B6" s="181" t="s">
        <v>80</v>
      </c>
      <c r="C6" s="182"/>
      <c r="D6" s="182"/>
      <c r="E6" s="279" t="s">
        <v>1832</v>
      </c>
      <c r="F6" s="279"/>
      <c r="G6" s="279"/>
      <c r="H6" s="183" t="s">
        <v>4</v>
      </c>
      <c r="I6" s="24" t="s">
        <v>90</v>
      </c>
      <c r="K6" s="184" t="s">
        <v>91</v>
      </c>
      <c r="M6" s="138" t="s">
        <v>1835</v>
      </c>
      <c r="N6" s="140"/>
      <c r="O6" s="140"/>
      <c r="P6" s="140"/>
    </row>
    <row r="7" spans="1:16">
      <c r="A7" s="181" t="s">
        <v>1</v>
      </c>
      <c r="B7" s="181" t="s">
        <v>80</v>
      </c>
      <c r="C7" s="182"/>
      <c r="D7" s="182"/>
      <c r="E7" s="279" t="s">
        <v>83</v>
      </c>
      <c r="F7" s="279"/>
      <c r="G7" s="279"/>
      <c r="H7" s="183" t="s">
        <v>4</v>
      </c>
      <c r="I7" s="24" t="s">
        <v>90</v>
      </c>
      <c r="K7" s="143" t="s">
        <v>71</v>
      </c>
      <c r="L7" s="143" t="s">
        <v>90</v>
      </c>
      <c r="M7" s="138" t="s">
        <v>317</v>
      </c>
      <c r="N7" s="140"/>
      <c r="O7" s="140"/>
      <c r="P7" s="140"/>
    </row>
    <row r="8" spans="1:16">
      <c r="A8" s="181" t="s">
        <v>1</v>
      </c>
      <c r="B8" s="181" t="s">
        <v>80</v>
      </c>
      <c r="C8" s="182"/>
      <c r="D8" s="182"/>
      <c r="E8" s="279" t="s">
        <v>86</v>
      </c>
      <c r="F8" s="279"/>
      <c r="G8" s="279"/>
      <c r="H8" s="183" t="s">
        <v>3</v>
      </c>
      <c r="I8" s="24" t="s">
        <v>90</v>
      </c>
      <c r="L8" s="143" t="s">
        <v>139</v>
      </c>
      <c r="M8" s="138" t="s">
        <v>561</v>
      </c>
      <c r="N8" s="140" t="str">
        <f>IF(I8&lt;&gt;"Yes","Required feature.","")</f>
        <v>Required feature.</v>
      </c>
      <c r="O8" s="140"/>
      <c r="P8" s="140"/>
    </row>
    <row r="9" spans="1:16">
      <c r="A9" s="181" t="s">
        <v>1</v>
      </c>
      <c r="B9" s="181" t="s">
        <v>80</v>
      </c>
      <c r="C9" s="182"/>
      <c r="D9" s="279" t="s">
        <v>21</v>
      </c>
      <c r="E9" s="279"/>
      <c r="F9" s="279"/>
      <c r="G9" s="279"/>
      <c r="H9" s="183" t="s">
        <v>4</v>
      </c>
      <c r="I9" s="24" t="s">
        <v>90</v>
      </c>
      <c r="L9" s="143" t="s">
        <v>136</v>
      </c>
      <c r="M9" s="138" t="s">
        <v>318</v>
      </c>
      <c r="N9" s="140"/>
      <c r="O9" s="140"/>
      <c r="P9" s="140"/>
    </row>
    <row r="10" spans="1:16" s="184" customFormat="1">
      <c r="A10" s="181" t="s">
        <v>1</v>
      </c>
      <c r="B10" s="181" t="s">
        <v>80</v>
      </c>
      <c r="C10" s="182"/>
      <c r="D10" s="182"/>
      <c r="E10" s="279" t="s">
        <v>1832</v>
      </c>
      <c r="F10" s="279"/>
      <c r="G10" s="279"/>
      <c r="H10" s="183" t="s">
        <v>4</v>
      </c>
      <c r="I10" s="24" t="s">
        <v>90</v>
      </c>
      <c r="L10" s="184" t="s">
        <v>137</v>
      </c>
      <c r="M10" s="138" t="s">
        <v>1836</v>
      </c>
      <c r="N10" s="140"/>
      <c r="O10" s="140"/>
      <c r="P10" s="140"/>
    </row>
    <row r="11" spans="1:16">
      <c r="A11" s="181" t="s">
        <v>1</v>
      </c>
      <c r="B11" s="181" t="s">
        <v>80</v>
      </c>
      <c r="C11" s="182"/>
      <c r="D11" s="182"/>
      <c r="E11" s="279" t="s">
        <v>84</v>
      </c>
      <c r="F11" s="279"/>
      <c r="G11" s="279"/>
      <c r="H11" s="183" t="s">
        <v>94</v>
      </c>
      <c r="I11" s="24" t="s">
        <v>90</v>
      </c>
      <c r="L11" s="143" t="s">
        <v>137</v>
      </c>
      <c r="M11" s="138" t="s">
        <v>319</v>
      </c>
      <c r="N11" s="140"/>
      <c r="O11" s="140"/>
      <c r="P11" s="140"/>
    </row>
    <row r="12" spans="1:16">
      <c r="A12" s="181" t="s">
        <v>1</v>
      </c>
      <c r="B12" s="181" t="s">
        <v>80</v>
      </c>
      <c r="C12" s="182"/>
      <c r="D12" s="182"/>
      <c r="E12" s="182"/>
      <c r="F12" s="279" t="s">
        <v>85</v>
      </c>
      <c r="G12" s="279"/>
      <c r="H12" s="183" t="s">
        <v>71</v>
      </c>
      <c r="I12" s="24" t="s">
        <v>90</v>
      </c>
      <c r="L12" s="143" t="s">
        <v>138</v>
      </c>
      <c r="M12" s="138" t="s">
        <v>320</v>
      </c>
      <c r="N12" s="140" t="str">
        <f>IF(AND(I11="Yes",I12&lt;&gt;"Yes"),"Required feature.","")</f>
        <v/>
      </c>
      <c r="O12" s="140"/>
      <c r="P12" s="140"/>
    </row>
    <row r="13" spans="1:16">
      <c r="A13" s="181" t="s">
        <v>1</v>
      </c>
      <c r="B13" s="181" t="s">
        <v>80</v>
      </c>
      <c r="C13" s="182"/>
      <c r="D13" s="182"/>
      <c r="E13" s="279" t="s">
        <v>87</v>
      </c>
      <c r="F13" s="279"/>
      <c r="G13" s="279"/>
      <c r="H13" s="183" t="s">
        <v>94</v>
      </c>
      <c r="I13" s="24" t="s">
        <v>90</v>
      </c>
      <c r="L13" s="143" t="s">
        <v>135</v>
      </c>
      <c r="M13" s="138" t="s">
        <v>386</v>
      </c>
      <c r="N13" s="140"/>
      <c r="O13" s="140"/>
      <c r="P13" s="140"/>
    </row>
    <row r="14" spans="1:16">
      <c r="A14" s="181" t="s">
        <v>1</v>
      </c>
      <c r="B14" s="181" t="s">
        <v>80</v>
      </c>
      <c r="C14" s="182"/>
      <c r="D14" s="182"/>
      <c r="E14" s="182"/>
      <c r="F14" s="279" t="s">
        <v>86</v>
      </c>
      <c r="G14" s="279"/>
      <c r="H14" s="183" t="s">
        <v>71</v>
      </c>
      <c r="I14" s="24" t="s">
        <v>90</v>
      </c>
      <c r="M14" s="138" t="s">
        <v>387</v>
      </c>
      <c r="N14" s="140" t="str">
        <f>IF(AND(I13="Yes",I14&lt;&gt;"Yes"),"Required feature.","")</f>
        <v/>
      </c>
      <c r="O14" s="140"/>
      <c r="P14" s="140"/>
    </row>
    <row r="15" spans="1:16">
      <c r="A15" s="181" t="s">
        <v>1</v>
      </c>
      <c r="B15" s="181" t="s">
        <v>80</v>
      </c>
      <c r="C15" s="182"/>
      <c r="D15" s="279" t="s">
        <v>22</v>
      </c>
      <c r="E15" s="279"/>
      <c r="F15" s="279"/>
      <c r="G15" s="279"/>
      <c r="H15" s="183" t="s">
        <v>3</v>
      </c>
      <c r="I15" s="24" t="s">
        <v>90</v>
      </c>
      <c r="M15" s="138" t="s">
        <v>562</v>
      </c>
      <c r="N15" s="140" t="str">
        <f t="shared" ref="N15:N24" si="0">IF(I15&lt;&gt;"Yes","Required feature.","")</f>
        <v>Required feature.</v>
      </c>
      <c r="O15" s="140"/>
      <c r="P15" s="140"/>
    </row>
    <row r="16" spans="1:16">
      <c r="A16" s="181" t="s">
        <v>1</v>
      </c>
      <c r="B16" s="181" t="s">
        <v>80</v>
      </c>
      <c r="C16" s="182"/>
      <c r="D16" s="182"/>
      <c r="E16" s="279" t="s">
        <v>23</v>
      </c>
      <c r="F16" s="279"/>
      <c r="G16" s="279"/>
      <c r="H16" s="183" t="s">
        <v>3</v>
      </c>
      <c r="I16" s="24" t="s">
        <v>90</v>
      </c>
      <c r="L16" s="143" t="s">
        <v>90</v>
      </c>
      <c r="M16" s="138" t="s">
        <v>564</v>
      </c>
      <c r="N16" s="140" t="str">
        <f t="shared" si="0"/>
        <v>Required feature.</v>
      </c>
      <c r="O16" s="140"/>
      <c r="P16" s="140"/>
    </row>
    <row r="17" spans="1:16">
      <c r="A17" s="181" t="s">
        <v>1</v>
      </c>
      <c r="B17" s="181" t="s">
        <v>80</v>
      </c>
      <c r="C17" s="182"/>
      <c r="D17" s="182"/>
      <c r="E17" s="279" t="s">
        <v>24</v>
      </c>
      <c r="F17" s="279"/>
      <c r="G17" s="279"/>
      <c r="H17" s="183" t="s">
        <v>3</v>
      </c>
      <c r="I17" s="24" t="s">
        <v>90</v>
      </c>
      <c r="L17" s="143" t="s">
        <v>134</v>
      </c>
      <c r="M17" s="138" t="s">
        <v>563</v>
      </c>
      <c r="N17" s="140" t="str">
        <f t="shared" si="0"/>
        <v>Required feature.</v>
      </c>
      <c r="O17" s="140"/>
      <c r="P17" s="140"/>
    </row>
    <row r="18" spans="1:16" s="184" customFormat="1">
      <c r="A18" s="254" t="s">
        <v>1</v>
      </c>
      <c r="B18" s="254" t="s">
        <v>80</v>
      </c>
      <c r="C18" s="255"/>
      <c r="D18" s="274" t="s">
        <v>2138</v>
      </c>
      <c r="E18" s="275"/>
      <c r="F18" s="275"/>
      <c r="G18" s="276"/>
      <c r="H18" s="190" t="s">
        <v>4</v>
      </c>
      <c r="I18" s="259" t="s">
        <v>90</v>
      </c>
      <c r="L18" s="184" t="s">
        <v>134</v>
      </c>
      <c r="M18" s="171" t="s">
        <v>2143</v>
      </c>
      <c r="N18" s="215"/>
      <c r="O18" s="215" t="s">
        <v>2142</v>
      </c>
      <c r="P18" s="215" t="s">
        <v>1948</v>
      </c>
    </row>
    <row r="19" spans="1:16">
      <c r="A19" s="181" t="s">
        <v>1</v>
      </c>
      <c r="B19" s="181" t="s">
        <v>2</v>
      </c>
      <c r="C19" s="279" t="s">
        <v>98</v>
      </c>
      <c r="D19" s="279"/>
      <c r="E19" s="279"/>
      <c r="F19" s="279"/>
      <c r="G19" s="279"/>
      <c r="H19" s="183" t="s">
        <v>3</v>
      </c>
      <c r="I19" s="24" t="s">
        <v>90</v>
      </c>
      <c r="L19" s="143" t="s">
        <v>137</v>
      </c>
      <c r="M19" s="138" t="s">
        <v>565</v>
      </c>
      <c r="N19" s="140" t="str">
        <f t="shared" si="0"/>
        <v>Required feature.</v>
      </c>
      <c r="O19" s="140"/>
      <c r="P19" s="140"/>
    </row>
    <row r="20" spans="1:16">
      <c r="A20" s="181" t="s">
        <v>1</v>
      </c>
      <c r="B20" s="181" t="s">
        <v>2</v>
      </c>
      <c r="C20" s="182"/>
      <c r="D20" s="280" t="s">
        <v>27</v>
      </c>
      <c r="E20" s="281"/>
      <c r="F20" s="281"/>
      <c r="G20" s="282"/>
      <c r="H20" s="183" t="s">
        <v>3</v>
      </c>
      <c r="I20" s="24" t="s">
        <v>90</v>
      </c>
      <c r="L20" s="143" t="s">
        <v>135</v>
      </c>
      <c r="M20" s="138" t="s">
        <v>566</v>
      </c>
      <c r="N20" s="140" t="str">
        <f t="shared" si="0"/>
        <v>Required feature.</v>
      </c>
      <c r="O20" s="140"/>
      <c r="P20" s="140"/>
    </row>
    <row r="21" spans="1:16">
      <c r="A21" s="181" t="s">
        <v>1</v>
      </c>
      <c r="B21" s="181" t="s">
        <v>2</v>
      </c>
      <c r="C21" s="182"/>
      <c r="D21" s="182"/>
      <c r="E21" s="279" t="s">
        <v>28</v>
      </c>
      <c r="F21" s="279"/>
      <c r="G21" s="279"/>
      <c r="H21" s="183" t="s">
        <v>3</v>
      </c>
      <c r="I21" s="24" t="s">
        <v>90</v>
      </c>
      <c r="M21" s="138" t="s">
        <v>567</v>
      </c>
      <c r="N21" s="140" t="str">
        <f t="shared" si="0"/>
        <v>Required feature.</v>
      </c>
      <c r="O21" s="140"/>
      <c r="P21" s="140"/>
    </row>
    <row r="22" spans="1:16">
      <c r="A22" s="181" t="s">
        <v>1</v>
      </c>
      <c r="B22" s="181" t="s">
        <v>2</v>
      </c>
      <c r="C22" s="182"/>
      <c r="D22" s="279" t="s">
        <v>29</v>
      </c>
      <c r="E22" s="279"/>
      <c r="F22" s="279"/>
      <c r="G22" s="279"/>
      <c r="H22" s="183" t="s">
        <v>3</v>
      </c>
      <c r="I22" s="24" t="s">
        <v>90</v>
      </c>
      <c r="M22" s="138" t="s">
        <v>568</v>
      </c>
      <c r="N22" s="140" t="str">
        <f t="shared" si="0"/>
        <v>Required feature.</v>
      </c>
      <c r="O22" s="140"/>
      <c r="P22" s="140"/>
    </row>
    <row r="23" spans="1:16">
      <c r="A23" s="181" t="s">
        <v>1</v>
      </c>
      <c r="B23" s="181" t="s">
        <v>2</v>
      </c>
      <c r="C23" s="182"/>
      <c r="D23" s="182"/>
      <c r="E23" s="279" t="s">
        <v>30</v>
      </c>
      <c r="F23" s="279"/>
      <c r="G23" s="279"/>
      <c r="H23" s="183" t="s">
        <v>3</v>
      </c>
      <c r="I23" s="24" t="s">
        <v>90</v>
      </c>
      <c r="M23" s="138" t="s">
        <v>569</v>
      </c>
      <c r="N23" s="140" t="str">
        <f t="shared" si="0"/>
        <v>Required feature.</v>
      </c>
      <c r="O23" s="140"/>
      <c r="P23" s="140"/>
    </row>
    <row r="24" spans="1:16">
      <c r="A24" s="181" t="s">
        <v>1</v>
      </c>
      <c r="B24" s="181" t="s">
        <v>2</v>
      </c>
      <c r="C24" s="182"/>
      <c r="D24" s="280" t="s">
        <v>31</v>
      </c>
      <c r="E24" s="281"/>
      <c r="F24" s="281"/>
      <c r="G24" s="282"/>
      <c r="H24" s="183" t="s">
        <v>3</v>
      </c>
      <c r="I24" s="24" t="s">
        <v>90</v>
      </c>
      <c r="M24" s="138" t="s">
        <v>570</v>
      </c>
      <c r="N24" s="140" t="str">
        <f t="shared" si="0"/>
        <v>Required feature.</v>
      </c>
      <c r="O24" s="140"/>
      <c r="P24" s="140"/>
    </row>
    <row r="25" spans="1:16">
      <c r="A25" s="181" t="s">
        <v>1</v>
      </c>
      <c r="B25" s="181" t="s">
        <v>2</v>
      </c>
      <c r="C25" s="182"/>
      <c r="D25" s="182"/>
      <c r="E25" s="280" t="s">
        <v>32</v>
      </c>
      <c r="F25" s="281"/>
      <c r="G25" s="282"/>
      <c r="H25" s="183" t="s">
        <v>94</v>
      </c>
      <c r="I25" s="24" t="s">
        <v>90</v>
      </c>
      <c r="M25" s="138" t="s">
        <v>388</v>
      </c>
      <c r="N25" s="140"/>
      <c r="O25" s="140"/>
      <c r="P25" s="140"/>
    </row>
    <row r="26" spans="1:16">
      <c r="A26" s="181" t="s">
        <v>1</v>
      </c>
      <c r="B26" s="181" t="s">
        <v>2</v>
      </c>
      <c r="C26" s="182"/>
      <c r="D26" s="182"/>
      <c r="E26" s="182"/>
      <c r="F26" s="182" t="s">
        <v>508</v>
      </c>
      <c r="G26" s="182"/>
      <c r="H26" s="183" t="s">
        <v>94</v>
      </c>
      <c r="I26" s="24" t="s">
        <v>90</v>
      </c>
      <c r="M26" s="138" t="s">
        <v>511</v>
      </c>
      <c r="N26" s="140"/>
      <c r="O26" s="140"/>
      <c r="P26" s="140"/>
    </row>
    <row r="27" spans="1:16">
      <c r="A27" s="181" t="s">
        <v>1</v>
      </c>
      <c r="B27" s="181" t="s">
        <v>2</v>
      </c>
      <c r="C27" s="182"/>
      <c r="D27" s="182"/>
      <c r="E27" s="182"/>
      <c r="F27" s="182" t="s">
        <v>507</v>
      </c>
      <c r="G27" s="182"/>
      <c r="H27" s="183" t="s">
        <v>94</v>
      </c>
      <c r="I27" s="24" t="s">
        <v>90</v>
      </c>
      <c r="M27" s="138" t="s">
        <v>512</v>
      </c>
      <c r="N27" s="140"/>
      <c r="O27" s="140"/>
      <c r="P27" s="140"/>
    </row>
    <row r="28" spans="1:16">
      <c r="A28" s="181" t="s">
        <v>1</v>
      </c>
      <c r="B28" s="181" t="s">
        <v>2</v>
      </c>
      <c r="C28" s="182"/>
      <c r="D28" s="182"/>
      <c r="E28" s="279" t="s">
        <v>33</v>
      </c>
      <c r="F28" s="279"/>
      <c r="G28" s="279"/>
      <c r="H28" s="183" t="s">
        <v>4</v>
      </c>
      <c r="I28" s="24" t="s">
        <v>90</v>
      </c>
      <c r="M28" s="138" t="s">
        <v>321</v>
      </c>
      <c r="N28" s="140"/>
      <c r="O28" s="140"/>
      <c r="P28" s="140" t="s">
        <v>2097</v>
      </c>
    </row>
    <row r="29" spans="1:16">
      <c r="A29" s="181" t="s">
        <v>1</v>
      </c>
      <c r="B29" s="181" t="s">
        <v>2</v>
      </c>
      <c r="C29" s="182"/>
      <c r="D29" s="182"/>
      <c r="E29" s="182"/>
      <c r="F29" s="182" t="s">
        <v>509</v>
      </c>
      <c r="G29" s="182"/>
      <c r="H29" s="183" t="s">
        <v>94</v>
      </c>
      <c r="I29" s="24" t="s">
        <v>90</v>
      </c>
      <c r="M29" s="138" t="s">
        <v>513</v>
      </c>
      <c r="N29" s="140"/>
      <c r="O29" s="140"/>
      <c r="P29" s="140"/>
    </row>
    <row r="30" spans="1:16">
      <c r="A30" s="181" t="s">
        <v>1</v>
      </c>
      <c r="B30" s="181" t="s">
        <v>2</v>
      </c>
      <c r="C30" s="182"/>
      <c r="D30" s="182"/>
      <c r="E30" s="182"/>
      <c r="F30" s="182" t="s">
        <v>510</v>
      </c>
      <c r="G30" s="182"/>
      <c r="H30" s="183" t="s">
        <v>94</v>
      </c>
      <c r="I30" s="24" t="s">
        <v>90</v>
      </c>
      <c r="M30" s="138" t="s">
        <v>514</v>
      </c>
      <c r="N30" s="140"/>
      <c r="O30" s="140"/>
      <c r="P30" s="140"/>
    </row>
    <row r="31" spans="1:16">
      <c r="A31" s="181" t="s">
        <v>1</v>
      </c>
      <c r="B31" s="181" t="s">
        <v>2</v>
      </c>
      <c r="C31" s="182"/>
      <c r="D31" s="182"/>
      <c r="E31" s="279" t="s">
        <v>35</v>
      </c>
      <c r="F31" s="279"/>
      <c r="G31" s="279"/>
      <c r="H31" s="183" t="s">
        <v>94</v>
      </c>
      <c r="I31" s="24" t="s">
        <v>90</v>
      </c>
      <c r="M31" s="138" t="s">
        <v>389</v>
      </c>
      <c r="N31" s="140"/>
      <c r="O31" s="140"/>
      <c r="P31" s="140"/>
    </row>
    <row r="32" spans="1:16">
      <c r="A32" s="181" t="s">
        <v>1</v>
      </c>
      <c r="B32" s="181" t="s">
        <v>2</v>
      </c>
      <c r="C32" s="182"/>
      <c r="D32" s="182"/>
      <c r="E32" s="182"/>
      <c r="F32" s="182" t="s">
        <v>527</v>
      </c>
      <c r="G32" s="182"/>
      <c r="H32" s="183" t="s">
        <v>94</v>
      </c>
      <c r="I32" s="24" t="s">
        <v>90</v>
      </c>
      <c r="M32" s="138" t="s">
        <v>515</v>
      </c>
      <c r="N32" s="140"/>
      <c r="O32" s="140"/>
      <c r="P32" s="140"/>
    </row>
    <row r="33" spans="1:16">
      <c r="A33" s="181" t="s">
        <v>1</v>
      </c>
      <c r="B33" s="181" t="s">
        <v>2</v>
      </c>
      <c r="C33" s="182"/>
      <c r="D33" s="182"/>
      <c r="E33" s="182"/>
      <c r="F33" s="182" t="s">
        <v>528</v>
      </c>
      <c r="G33" s="182"/>
      <c r="H33" s="183" t="s">
        <v>94</v>
      </c>
      <c r="I33" s="24" t="s">
        <v>90</v>
      </c>
      <c r="M33" s="138" t="s">
        <v>516</v>
      </c>
      <c r="N33" s="140"/>
      <c r="O33" s="140"/>
      <c r="P33" s="140"/>
    </row>
    <row r="34" spans="1:16">
      <c r="A34" s="181" t="s">
        <v>1</v>
      </c>
      <c r="B34" s="181" t="s">
        <v>2</v>
      </c>
      <c r="C34" s="182"/>
      <c r="D34" s="182"/>
      <c r="E34" s="279" t="s">
        <v>34</v>
      </c>
      <c r="F34" s="279"/>
      <c r="G34" s="279"/>
      <c r="H34" s="183" t="s">
        <v>4</v>
      </c>
      <c r="I34" s="24" t="s">
        <v>90</v>
      </c>
      <c r="M34" s="138" t="s">
        <v>322</v>
      </c>
      <c r="N34" s="140"/>
      <c r="O34" s="140"/>
      <c r="P34" s="140" t="s">
        <v>2097</v>
      </c>
    </row>
    <row r="35" spans="1:16">
      <c r="A35" s="181" t="s">
        <v>1</v>
      </c>
      <c r="B35" s="181" t="s">
        <v>2</v>
      </c>
      <c r="C35" s="182"/>
      <c r="D35" s="182"/>
      <c r="E35" s="182"/>
      <c r="F35" s="182" t="s">
        <v>529</v>
      </c>
      <c r="G35" s="182"/>
      <c r="H35" s="183" t="s">
        <v>94</v>
      </c>
      <c r="I35" s="24" t="s">
        <v>90</v>
      </c>
      <c r="M35" s="138" t="s">
        <v>517</v>
      </c>
      <c r="N35" s="140"/>
      <c r="O35" s="140"/>
      <c r="P35" s="140"/>
    </row>
    <row r="36" spans="1:16">
      <c r="A36" s="181" t="s">
        <v>1</v>
      </c>
      <c r="B36" s="181" t="s">
        <v>2</v>
      </c>
      <c r="C36" s="182"/>
      <c r="D36" s="182"/>
      <c r="E36" s="182"/>
      <c r="F36" s="182" t="s">
        <v>530</v>
      </c>
      <c r="G36" s="182"/>
      <c r="H36" s="183" t="s">
        <v>94</v>
      </c>
      <c r="I36" s="24" t="s">
        <v>90</v>
      </c>
      <c r="M36" s="138" t="s">
        <v>518</v>
      </c>
      <c r="N36" s="140"/>
      <c r="O36" s="140"/>
      <c r="P36" s="140"/>
    </row>
    <row r="37" spans="1:16">
      <c r="A37" s="181" t="s">
        <v>1</v>
      </c>
      <c r="B37" s="181" t="s">
        <v>2</v>
      </c>
      <c r="C37" s="182"/>
      <c r="D37" s="182"/>
      <c r="E37" s="279" t="s">
        <v>36</v>
      </c>
      <c r="F37" s="279"/>
      <c r="G37" s="279"/>
      <c r="H37" s="183" t="s">
        <v>4</v>
      </c>
      <c r="I37" s="24" t="s">
        <v>90</v>
      </c>
      <c r="M37" s="138" t="s">
        <v>323</v>
      </c>
      <c r="N37" s="140"/>
      <c r="O37" s="140"/>
      <c r="P37" s="185" t="s">
        <v>2097</v>
      </c>
    </row>
    <row r="38" spans="1:16">
      <c r="A38" s="181" t="s">
        <v>1</v>
      </c>
      <c r="B38" s="181" t="s">
        <v>2</v>
      </c>
      <c r="C38" s="182"/>
      <c r="D38" s="182"/>
      <c r="E38" s="182"/>
      <c r="F38" s="182" t="s">
        <v>531</v>
      </c>
      <c r="G38" s="182"/>
      <c r="H38" s="183" t="s">
        <v>94</v>
      </c>
      <c r="I38" s="24" t="s">
        <v>90</v>
      </c>
      <c r="M38" s="138" t="s">
        <v>519</v>
      </c>
      <c r="N38" s="140"/>
      <c r="O38" s="140"/>
      <c r="P38" s="140"/>
    </row>
    <row r="39" spans="1:16">
      <c r="A39" s="181" t="s">
        <v>1</v>
      </c>
      <c r="B39" s="181" t="s">
        <v>2</v>
      </c>
      <c r="C39" s="182"/>
      <c r="D39" s="182"/>
      <c r="E39" s="182"/>
      <c r="F39" s="182" t="s">
        <v>532</v>
      </c>
      <c r="G39" s="182"/>
      <c r="H39" s="183" t="s">
        <v>94</v>
      </c>
      <c r="I39" s="24" t="s">
        <v>90</v>
      </c>
      <c r="M39" s="138" t="s">
        <v>520</v>
      </c>
      <c r="N39" s="140"/>
      <c r="O39" s="140"/>
      <c r="P39" s="140"/>
    </row>
    <row r="40" spans="1:16">
      <c r="A40" s="181" t="s">
        <v>1</v>
      </c>
      <c r="B40" s="181" t="s">
        <v>2</v>
      </c>
      <c r="C40" s="182"/>
      <c r="D40" s="182"/>
      <c r="E40" s="279" t="s">
        <v>37</v>
      </c>
      <c r="F40" s="279"/>
      <c r="G40" s="279"/>
      <c r="H40" s="183" t="s">
        <v>4</v>
      </c>
      <c r="I40" s="24" t="s">
        <v>90</v>
      </c>
      <c r="M40" s="138" t="s">
        <v>324</v>
      </c>
      <c r="N40" s="140"/>
      <c r="O40" s="140"/>
      <c r="P40" s="185" t="s">
        <v>2097</v>
      </c>
    </row>
    <row r="41" spans="1:16">
      <c r="A41" s="181" t="s">
        <v>1</v>
      </c>
      <c r="B41" s="181" t="s">
        <v>2</v>
      </c>
      <c r="C41" s="182"/>
      <c r="D41" s="182"/>
      <c r="E41" s="182"/>
      <c r="F41" s="182" t="s">
        <v>533</v>
      </c>
      <c r="G41" s="182"/>
      <c r="H41" s="183" t="s">
        <v>94</v>
      </c>
      <c r="I41" s="24" t="s">
        <v>90</v>
      </c>
      <c r="M41" s="138" t="s">
        <v>521</v>
      </c>
      <c r="N41" s="140"/>
      <c r="O41" s="140"/>
      <c r="P41" s="140"/>
    </row>
    <row r="42" spans="1:16">
      <c r="A42" s="181" t="s">
        <v>1</v>
      </c>
      <c r="B42" s="181" t="s">
        <v>2</v>
      </c>
      <c r="C42" s="182"/>
      <c r="D42" s="182"/>
      <c r="E42" s="182"/>
      <c r="F42" s="182" t="s">
        <v>534</v>
      </c>
      <c r="G42" s="182"/>
      <c r="H42" s="183" t="s">
        <v>94</v>
      </c>
      <c r="I42" s="24" t="s">
        <v>90</v>
      </c>
      <c r="M42" s="138" t="s">
        <v>524</v>
      </c>
      <c r="N42" s="140"/>
      <c r="O42" s="140"/>
      <c r="P42" s="140"/>
    </row>
    <row r="43" spans="1:16">
      <c r="A43" s="181" t="s">
        <v>1</v>
      </c>
      <c r="B43" s="181" t="s">
        <v>2</v>
      </c>
      <c r="C43" s="182"/>
      <c r="D43" s="182"/>
      <c r="E43" s="279" t="s">
        <v>100</v>
      </c>
      <c r="F43" s="279"/>
      <c r="G43" s="279"/>
      <c r="H43" s="183" t="s">
        <v>4</v>
      </c>
      <c r="I43" s="24" t="s">
        <v>90</v>
      </c>
      <c r="M43" s="138" t="s">
        <v>325</v>
      </c>
      <c r="N43" s="140"/>
      <c r="O43" s="140"/>
      <c r="P43" s="185" t="s">
        <v>2097</v>
      </c>
    </row>
    <row r="44" spans="1:16">
      <c r="A44" s="181" t="s">
        <v>1</v>
      </c>
      <c r="B44" s="181" t="s">
        <v>2</v>
      </c>
      <c r="C44" s="182"/>
      <c r="D44" s="182"/>
      <c r="E44" s="182"/>
      <c r="F44" s="182" t="s">
        <v>536</v>
      </c>
      <c r="G44" s="182"/>
      <c r="H44" s="183" t="s">
        <v>94</v>
      </c>
      <c r="I44" s="24" t="s">
        <v>90</v>
      </c>
      <c r="M44" s="138" t="s">
        <v>522</v>
      </c>
      <c r="N44" s="140"/>
      <c r="O44" s="140"/>
      <c r="P44" s="140"/>
    </row>
    <row r="45" spans="1:16">
      <c r="A45" s="181" t="s">
        <v>1</v>
      </c>
      <c r="B45" s="181" t="s">
        <v>2</v>
      </c>
      <c r="C45" s="182"/>
      <c r="D45" s="182"/>
      <c r="E45" s="182"/>
      <c r="F45" s="182" t="s">
        <v>535</v>
      </c>
      <c r="G45" s="182"/>
      <c r="H45" s="183" t="s">
        <v>94</v>
      </c>
      <c r="I45" s="24" t="s">
        <v>90</v>
      </c>
      <c r="M45" s="138" t="s">
        <v>525</v>
      </c>
      <c r="N45" s="140"/>
      <c r="O45" s="140"/>
      <c r="P45" s="140"/>
    </row>
    <row r="46" spans="1:16">
      <c r="A46" s="181" t="s">
        <v>1</v>
      </c>
      <c r="B46" s="181" t="s">
        <v>2</v>
      </c>
      <c r="C46" s="182"/>
      <c r="D46" s="182"/>
      <c r="E46" s="279" t="s">
        <v>99</v>
      </c>
      <c r="F46" s="279"/>
      <c r="G46" s="279"/>
      <c r="H46" s="183" t="s">
        <v>4</v>
      </c>
      <c r="I46" s="24" t="s">
        <v>90</v>
      </c>
      <c r="M46" s="138" t="s">
        <v>326</v>
      </c>
      <c r="N46" s="140"/>
      <c r="O46" s="140"/>
      <c r="P46" s="185" t="s">
        <v>2097</v>
      </c>
    </row>
    <row r="47" spans="1:16">
      <c r="A47" s="181" t="s">
        <v>1</v>
      </c>
      <c r="B47" s="181" t="s">
        <v>2</v>
      </c>
      <c r="C47" s="182"/>
      <c r="D47" s="182"/>
      <c r="E47" s="182"/>
      <c r="F47" s="182" t="s">
        <v>537</v>
      </c>
      <c r="G47" s="182"/>
      <c r="H47" s="183" t="s">
        <v>94</v>
      </c>
      <c r="I47" s="24" t="s">
        <v>90</v>
      </c>
      <c r="M47" s="138" t="s">
        <v>523</v>
      </c>
      <c r="N47" s="140"/>
      <c r="O47" s="140"/>
      <c r="P47" s="140"/>
    </row>
    <row r="48" spans="1:16">
      <c r="A48" s="181" t="s">
        <v>1</v>
      </c>
      <c r="B48" s="181" t="s">
        <v>2</v>
      </c>
      <c r="C48" s="182"/>
      <c r="D48" s="182"/>
      <c r="E48" s="182"/>
      <c r="F48" s="182" t="s">
        <v>538</v>
      </c>
      <c r="G48" s="182"/>
      <c r="H48" s="183" t="s">
        <v>94</v>
      </c>
      <c r="I48" s="24" t="s">
        <v>90</v>
      </c>
      <c r="M48" s="138" t="s">
        <v>526</v>
      </c>
      <c r="N48" s="140"/>
      <c r="O48" s="140"/>
      <c r="P48" s="140"/>
    </row>
    <row r="49" spans="1:16">
      <c r="A49" s="181" t="s">
        <v>1</v>
      </c>
      <c r="B49" s="181" t="s">
        <v>2</v>
      </c>
      <c r="C49" s="182"/>
      <c r="D49" s="279" t="s">
        <v>101</v>
      </c>
      <c r="E49" s="279"/>
      <c r="F49" s="279"/>
      <c r="G49" s="279"/>
      <c r="H49" s="183" t="s">
        <v>3</v>
      </c>
      <c r="I49" s="24" t="s">
        <v>90</v>
      </c>
      <c r="M49" s="138" t="s">
        <v>571</v>
      </c>
      <c r="N49" s="140" t="str">
        <f>IF(I49&lt;&gt;"Yes","Required feature.","")</f>
        <v>Required feature.</v>
      </c>
      <c r="O49" s="140"/>
      <c r="P49" s="140"/>
    </row>
    <row r="50" spans="1:16">
      <c r="A50" s="181" t="s">
        <v>1</v>
      </c>
      <c r="B50" s="181" t="s">
        <v>2</v>
      </c>
      <c r="C50" s="182"/>
      <c r="D50" s="182"/>
      <c r="E50" s="279" t="s">
        <v>140</v>
      </c>
      <c r="F50" s="279"/>
      <c r="G50" s="279"/>
      <c r="H50" s="183" t="s">
        <v>3</v>
      </c>
      <c r="I50" s="24" t="s">
        <v>90</v>
      </c>
      <c r="M50" s="138" t="s">
        <v>572</v>
      </c>
      <c r="N50" s="140" t="str">
        <f>IF(I50&lt;&gt;"Yes","Required feature.","")</f>
        <v>Required feature.</v>
      </c>
      <c r="O50" s="140"/>
      <c r="P50" s="140"/>
    </row>
    <row r="51" spans="1:16">
      <c r="A51" s="181" t="s">
        <v>1</v>
      </c>
      <c r="B51" s="181" t="s">
        <v>2</v>
      </c>
      <c r="C51" s="182"/>
      <c r="D51" s="182"/>
      <c r="E51" s="279" t="s">
        <v>141</v>
      </c>
      <c r="F51" s="279"/>
      <c r="G51" s="279"/>
      <c r="H51" s="183" t="s">
        <v>4</v>
      </c>
      <c r="I51" s="24" t="s">
        <v>90</v>
      </c>
      <c r="M51" s="138" t="s">
        <v>327</v>
      </c>
      <c r="N51" s="140"/>
      <c r="O51" s="140"/>
      <c r="P51" s="140"/>
    </row>
    <row r="52" spans="1:16">
      <c r="A52" s="181" t="s">
        <v>1</v>
      </c>
      <c r="B52" s="181" t="s">
        <v>2</v>
      </c>
      <c r="C52" s="182"/>
      <c r="D52" s="280" t="s">
        <v>102</v>
      </c>
      <c r="E52" s="281"/>
      <c r="F52" s="281"/>
      <c r="G52" s="282"/>
      <c r="H52" s="183" t="s">
        <v>3</v>
      </c>
      <c r="I52" s="24" t="s">
        <v>90</v>
      </c>
      <c r="M52" s="138" t="s">
        <v>573</v>
      </c>
      <c r="N52" s="140" t="str">
        <f>IF(I52&lt;&gt;"Yes","Required feature.","")</f>
        <v>Required feature.</v>
      </c>
      <c r="O52" s="140"/>
      <c r="P52" s="140"/>
    </row>
    <row r="53" spans="1:16">
      <c r="A53" s="181" t="s">
        <v>1</v>
      </c>
      <c r="B53" s="181" t="s">
        <v>2</v>
      </c>
      <c r="C53" s="182"/>
      <c r="D53" s="182"/>
      <c r="E53" s="280" t="s">
        <v>103</v>
      </c>
      <c r="F53" s="281"/>
      <c r="G53" s="282"/>
      <c r="H53" s="183" t="s">
        <v>4</v>
      </c>
      <c r="I53" s="24" t="s">
        <v>90</v>
      </c>
      <c r="M53" s="138" t="s">
        <v>328</v>
      </c>
      <c r="N53" s="140"/>
      <c r="O53" s="140"/>
      <c r="P53" s="140"/>
    </row>
    <row r="54" spans="1:16">
      <c r="A54" s="181" t="s">
        <v>1</v>
      </c>
      <c r="B54" s="181" t="s">
        <v>2</v>
      </c>
      <c r="C54" s="182"/>
      <c r="D54" s="182"/>
      <c r="E54" s="280" t="s">
        <v>104</v>
      </c>
      <c r="F54" s="281"/>
      <c r="G54" s="282"/>
      <c r="H54" s="183" t="s">
        <v>4</v>
      </c>
      <c r="I54" s="24" t="s">
        <v>90</v>
      </c>
      <c r="M54" s="138" t="s">
        <v>329</v>
      </c>
      <c r="N54" s="140"/>
      <c r="O54" s="140"/>
      <c r="P54" s="140"/>
    </row>
    <row r="55" spans="1:16">
      <c r="A55" s="181" t="s">
        <v>1</v>
      </c>
      <c r="B55" s="181" t="s">
        <v>2</v>
      </c>
      <c r="C55" s="182"/>
      <c r="D55" s="182"/>
      <c r="E55" s="280" t="s">
        <v>190</v>
      </c>
      <c r="F55" s="281"/>
      <c r="G55" s="282"/>
      <c r="H55" s="183" t="s">
        <v>3</v>
      </c>
      <c r="I55" s="24" t="s">
        <v>90</v>
      </c>
      <c r="M55" s="138" t="s">
        <v>330</v>
      </c>
      <c r="N55" s="140"/>
      <c r="O55" s="140"/>
      <c r="P55" s="140"/>
    </row>
    <row r="56" spans="1:16">
      <c r="A56" s="181" t="s">
        <v>1</v>
      </c>
      <c r="B56" s="181" t="s">
        <v>2</v>
      </c>
      <c r="C56" s="182"/>
      <c r="D56" s="182"/>
      <c r="E56" s="280" t="s">
        <v>189</v>
      </c>
      <c r="F56" s="281"/>
      <c r="G56" s="282"/>
      <c r="H56" s="183" t="s">
        <v>3</v>
      </c>
      <c r="I56" s="24" t="s">
        <v>90</v>
      </c>
      <c r="M56" s="138" t="s">
        <v>574</v>
      </c>
      <c r="N56" s="140" t="str">
        <f>IF(I56&lt;&gt;"Yes","Required feature.","")</f>
        <v>Required feature.</v>
      </c>
      <c r="O56" s="140"/>
      <c r="P56" s="140"/>
    </row>
    <row r="57" spans="1:16">
      <c r="A57" s="181" t="s">
        <v>1</v>
      </c>
      <c r="B57" s="181" t="s">
        <v>2</v>
      </c>
      <c r="C57" s="182"/>
      <c r="D57" s="182"/>
      <c r="E57" s="280" t="s">
        <v>188</v>
      </c>
      <c r="F57" s="281"/>
      <c r="G57" s="282"/>
      <c r="H57" s="183" t="s">
        <v>3</v>
      </c>
      <c r="I57" s="24" t="s">
        <v>90</v>
      </c>
      <c r="M57" s="138" t="s">
        <v>575</v>
      </c>
      <c r="N57" s="140" t="str">
        <f>IF(I57&lt;&gt;"Yes","Required feature.","")</f>
        <v>Required feature.</v>
      </c>
      <c r="O57" s="140"/>
      <c r="P57" s="140"/>
    </row>
    <row r="58" spans="1:16">
      <c r="A58" s="181" t="s">
        <v>1</v>
      </c>
      <c r="B58" s="181" t="s">
        <v>2</v>
      </c>
      <c r="C58" s="182"/>
      <c r="D58" s="182" t="s">
        <v>38</v>
      </c>
      <c r="E58" s="182"/>
      <c r="F58" s="182"/>
      <c r="G58" s="186"/>
      <c r="H58" s="183" t="s">
        <v>3</v>
      </c>
      <c r="I58" s="24" t="s">
        <v>90</v>
      </c>
      <c r="M58" s="138" t="s">
        <v>576</v>
      </c>
      <c r="N58" s="140" t="str">
        <f>IF(I58&lt;&gt;"Yes","Required feature.","")</f>
        <v>Required feature.</v>
      </c>
      <c r="O58" s="140"/>
      <c r="P58" s="140"/>
    </row>
    <row r="59" spans="1:16" s="249" customFormat="1">
      <c r="A59" s="181" t="s">
        <v>1</v>
      </c>
      <c r="B59" s="181" t="s">
        <v>2</v>
      </c>
      <c r="C59" s="182"/>
      <c r="D59" s="182"/>
      <c r="E59" s="280" t="s">
        <v>107</v>
      </c>
      <c r="F59" s="281"/>
      <c r="G59" s="282"/>
      <c r="H59" s="183" t="s">
        <v>4</v>
      </c>
      <c r="I59" s="24" t="s">
        <v>90</v>
      </c>
      <c r="J59" s="143"/>
      <c r="K59" s="143"/>
      <c r="L59" s="143"/>
      <c r="M59" s="138" t="s">
        <v>488</v>
      </c>
      <c r="N59" s="140"/>
      <c r="O59" s="140"/>
      <c r="P59" s="140"/>
    </row>
    <row r="60" spans="1:16">
      <c r="A60" s="181" t="s">
        <v>1</v>
      </c>
      <c r="B60" s="181" t="s">
        <v>2</v>
      </c>
      <c r="C60" s="182"/>
      <c r="D60" s="182"/>
      <c r="E60" s="280" t="s">
        <v>108</v>
      </c>
      <c r="F60" s="281"/>
      <c r="G60" s="282"/>
      <c r="H60" s="183" t="s">
        <v>4</v>
      </c>
      <c r="I60" s="24" t="s">
        <v>90</v>
      </c>
      <c r="M60" s="138" t="s">
        <v>331</v>
      </c>
      <c r="N60" s="140"/>
      <c r="O60" s="140"/>
      <c r="P60" s="140"/>
    </row>
    <row r="61" spans="1:16">
      <c r="A61" s="181" t="s">
        <v>1</v>
      </c>
      <c r="B61" s="181" t="s">
        <v>2</v>
      </c>
      <c r="C61" s="182"/>
      <c r="D61" s="182"/>
      <c r="E61" s="280" t="s">
        <v>1998</v>
      </c>
      <c r="F61" s="281"/>
      <c r="G61" s="282"/>
      <c r="H61" s="183" t="s">
        <v>94</v>
      </c>
      <c r="I61" s="24" t="s">
        <v>90</v>
      </c>
      <c r="M61" s="138" t="s">
        <v>332</v>
      </c>
      <c r="N61" s="140" t="str">
        <f>IF(AND(I$87&lt;&gt;"Yes",I$61&lt;&gt;"Yes"),"Either knob or pointer support required.","")</f>
        <v>Either knob or pointer support required.</v>
      </c>
      <c r="O61" s="140"/>
      <c r="P61" s="140"/>
    </row>
    <row r="62" spans="1:16">
      <c r="A62" s="181" t="s">
        <v>1</v>
      </c>
      <c r="B62" s="181" t="s">
        <v>2</v>
      </c>
      <c r="C62" s="182"/>
      <c r="D62" s="182"/>
      <c r="E62" s="280" t="s">
        <v>39</v>
      </c>
      <c r="F62" s="281"/>
      <c r="G62" s="282"/>
      <c r="H62" s="183" t="s">
        <v>4</v>
      </c>
      <c r="I62" s="24" t="s">
        <v>90</v>
      </c>
      <c r="M62" s="138" t="s">
        <v>333</v>
      </c>
      <c r="N62" s="140"/>
      <c r="O62" s="140"/>
      <c r="P62" s="140"/>
    </row>
    <row r="63" spans="1:16">
      <c r="A63" s="181" t="s">
        <v>1</v>
      </c>
      <c r="B63" s="181" t="s">
        <v>2</v>
      </c>
      <c r="C63" s="182"/>
      <c r="D63" s="182"/>
      <c r="E63" s="280" t="s">
        <v>110</v>
      </c>
      <c r="F63" s="281"/>
      <c r="G63" s="282"/>
      <c r="H63" s="183" t="s">
        <v>4</v>
      </c>
      <c r="I63" s="24" t="s">
        <v>90</v>
      </c>
      <c r="M63" s="138" t="s">
        <v>334</v>
      </c>
      <c r="N63" s="140"/>
      <c r="O63" s="140"/>
      <c r="P63" s="140"/>
    </row>
    <row r="64" spans="1:16">
      <c r="A64" s="181" t="s">
        <v>1</v>
      </c>
      <c r="B64" s="181" t="s">
        <v>2</v>
      </c>
      <c r="C64" s="182"/>
      <c r="D64" s="182"/>
      <c r="E64" s="280" t="s">
        <v>111</v>
      </c>
      <c r="F64" s="281"/>
      <c r="G64" s="282"/>
      <c r="H64" s="183" t="s">
        <v>4</v>
      </c>
      <c r="I64" s="24" t="s">
        <v>90</v>
      </c>
      <c r="M64" s="138" t="s">
        <v>335</v>
      </c>
      <c r="N64" s="140"/>
      <c r="O64" s="140"/>
      <c r="P64" s="140"/>
    </row>
    <row r="65" spans="1:16">
      <c r="A65" s="181" t="s">
        <v>1</v>
      </c>
      <c r="B65" s="181" t="s">
        <v>2</v>
      </c>
      <c r="C65" s="182"/>
      <c r="D65" s="182"/>
      <c r="E65" s="280" t="s">
        <v>191</v>
      </c>
      <c r="F65" s="281"/>
      <c r="G65" s="282"/>
      <c r="H65" s="183" t="s">
        <v>4</v>
      </c>
      <c r="I65" s="24" t="s">
        <v>90</v>
      </c>
      <c r="M65" s="138" t="s">
        <v>336</v>
      </c>
      <c r="N65" s="140"/>
      <c r="O65" s="140"/>
      <c r="P65" s="140"/>
    </row>
    <row r="66" spans="1:16">
      <c r="A66" s="181" t="s">
        <v>1</v>
      </c>
      <c r="B66" s="181" t="s">
        <v>2</v>
      </c>
      <c r="C66" s="182"/>
      <c r="D66" s="182"/>
      <c r="E66" s="182" t="s">
        <v>1879</v>
      </c>
      <c r="F66" s="182"/>
      <c r="G66" s="182"/>
      <c r="H66" s="183" t="s">
        <v>4</v>
      </c>
      <c r="I66" s="24" t="s">
        <v>90</v>
      </c>
      <c r="M66" s="138" t="s">
        <v>337</v>
      </c>
      <c r="N66" s="140"/>
      <c r="O66" s="140"/>
      <c r="P66" s="140"/>
    </row>
    <row r="67" spans="1:16">
      <c r="A67" s="181" t="s">
        <v>1</v>
      </c>
      <c r="B67" s="181" t="s">
        <v>2</v>
      </c>
      <c r="C67" s="182"/>
      <c r="D67" s="279" t="s">
        <v>119</v>
      </c>
      <c r="E67" s="279"/>
      <c r="F67" s="279"/>
      <c r="G67" s="279"/>
      <c r="H67" s="183" t="s">
        <v>3</v>
      </c>
      <c r="I67" s="24" t="s">
        <v>90</v>
      </c>
      <c r="M67" s="138" t="s">
        <v>577</v>
      </c>
      <c r="N67" s="140" t="str">
        <f t="shared" ref="N67:N73" si="1">IF(I67&lt;&gt;"Yes","Required feature.","")</f>
        <v>Required feature.</v>
      </c>
      <c r="O67" s="140"/>
      <c r="P67" s="140"/>
    </row>
    <row r="68" spans="1:16">
      <c r="A68" s="181" t="s">
        <v>1</v>
      </c>
      <c r="B68" s="181" t="s">
        <v>2</v>
      </c>
      <c r="C68" s="182"/>
      <c r="D68" s="182"/>
      <c r="E68" s="279" t="s">
        <v>112</v>
      </c>
      <c r="F68" s="279"/>
      <c r="G68" s="279"/>
      <c r="H68" s="183" t="s">
        <v>3</v>
      </c>
      <c r="I68" s="24" t="s">
        <v>90</v>
      </c>
      <c r="M68" s="138" t="s">
        <v>578</v>
      </c>
      <c r="N68" s="140" t="str">
        <f t="shared" si="1"/>
        <v>Required feature.</v>
      </c>
      <c r="O68" s="140"/>
      <c r="P68" s="140"/>
    </row>
    <row r="69" spans="1:16">
      <c r="A69" s="181" t="s">
        <v>1</v>
      </c>
      <c r="B69" s="181" t="s">
        <v>2</v>
      </c>
      <c r="C69" s="182"/>
      <c r="D69" s="182"/>
      <c r="E69" s="279" t="s">
        <v>113</v>
      </c>
      <c r="F69" s="279"/>
      <c r="G69" s="279"/>
      <c r="H69" s="183" t="s">
        <v>3</v>
      </c>
      <c r="I69" s="24" t="s">
        <v>90</v>
      </c>
      <c r="M69" s="138" t="s">
        <v>579</v>
      </c>
      <c r="N69" s="140" t="str">
        <f t="shared" si="1"/>
        <v>Required feature.</v>
      </c>
      <c r="O69" s="140"/>
      <c r="P69" s="140"/>
    </row>
    <row r="70" spans="1:16">
      <c r="A70" s="181" t="s">
        <v>1</v>
      </c>
      <c r="B70" s="181" t="s">
        <v>2</v>
      </c>
      <c r="C70" s="182"/>
      <c r="D70" s="182"/>
      <c r="E70" s="279" t="s">
        <v>114</v>
      </c>
      <c r="F70" s="279"/>
      <c r="G70" s="279"/>
      <c r="H70" s="183" t="s">
        <v>3</v>
      </c>
      <c r="I70" s="24" t="s">
        <v>90</v>
      </c>
      <c r="M70" s="138" t="s">
        <v>580</v>
      </c>
      <c r="N70" s="140" t="str">
        <f t="shared" si="1"/>
        <v>Required feature.</v>
      </c>
      <c r="O70" s="140"/>
      <c r="P70" s="140"/>
    </row>
    <row r="71" spans="1:16">
      <c r="A71" s="181" t="s">
        <v>1</v>
      </c>
      <c r="B71" s="181" t="s">
        <v>2</v>
      </c>
      <c r="C71" s="182"/>
      <c r="D71" s="182"/>
      <c r="E71" s="279" t="s">
        <v>115</v>
      </c>
      <c r="F71" s="279"/>
      <c r="G71" s="279"/>
      <c r="H71" s="183" t="s">
        <v>3</v>
      </c>
      <c r="I71" s="24" t="s">
        <v>90</v>
      </c>
      <c r="M71" s="138" t="s">
        <v>581</v>
      </c>
      <c r="N71" s="140" t="str">
        <f t="shared" si="1"/>
        <v>Required feature.</v>
      </c>
      <c r="O71" s="140"/>
      <c r="P71" s="140"/>
    </row>
    <row r="72" spans="1:16">
      <c r="A72" s="181" t="s">
        <v>1</v>
      </c>
      <c r="B72" s="181" t="s">
        <v>2</v>
      </c>
      <c r="C72" s="182"/>
      <c r="D72" s="182"/>
      <c r="E72" s="279" t="s">
        <v>116</v>
      </c>
      <c r="F72" s="279"/>
      <c r="G72" s="279"/>
      <c r="H72" s="183" t="s">
        <v>3</v>
      </c>
      <c r="I72" s="24" t="s">
        <v>90</v>
      </c>
      <c r="M72" s="138" t="s">
        <v>582</v>
      </c>
      <c r="N72" s="140" t="str">
        <f t="shared" si="1"/>
        <v>Required feature.</v>
      </c>
      <c r="O72" s="140"/>
      <c r="P72" s="140"/>
    </row>
    <row r="73" spans="1:16">
      <c r="A73" s="181" t="s">
        <v>1</v>
      </c>
      <c r="B73" s="181" t="s">
        <v>2</v>
      </c>
      <c r="C73" s="182"/>
      <c r="D73" s="182"/>
      <c r="E73" s="279" t="s">
        <v>117</v>
      </c>
      <c r="F73" s="279"/>
      <c r="G73" s="279"/>
      <c r="H73" s="183" t="s">
        <v>3</v>
      </c>
      <c r="I73" s="24" t="s">
        <v>90</v>
      </c>
      <c r="M73" s="138" t="s">
        <v>583</v>
      </c>
      <c r="N73" s="140" t="str">
        <f t="shared" si="1"/>
        <v>Required feature.</v>
      </c>
      <c r="O73" s="140"/>
      <c r="P73" s="140"/>
    </row>
    <row r="74" spans="1:16">
      <c r="A74" s="181" t="s">
        <v>1</v>
      </c>
      <c r="B74" s="181" t="s">
        <v>2</v>
      </c>
      <c r="C74" s="182"/>
      <c r="D74" s="182"/>
      <c r="E74" s="279" t="s">
        <v>118</v>
      </c>
      <c r="F74" s="279"/>
      <c r="G74" s="279"/>
      <c r="H74" s="183" t="s">
        <v>3</v>
      </c>
      <c r="I74" s="24" t="s">
        <v>90</v>
      </c>
      <c r="M74" s="138" t="s">
        <v>341</v>
      </c>
      <c r="N74" s="140"/>
      <c r="O74" s="140"/>
      <c r="P74" s="140"/>
    </row>
    <row r="75" spans="1:16">
      <c r="A75" s="181" t="s">
        <v>1</v>
      </c>
      <c r="B75" s="181" t="s">
        <v>2</v>
      </c>
      <c r="C75" s="182"/>
      <c r="D75" s="279" t="s">
        <v>120</v>
      </c>
      <c r="E75" s="279"/>
      <c r="F75" s="279"/>
      <c r="G75" s="279"/>
      <c r="H75" s="183" t="s">
        <v>3</v>
      </c>
      <c r="I75" s="24" t="s">
        <v>90</v>
      </c>
      <c r="M75" s="138" t="s">
        <v>584</v>
      </c>
      <c r="N75" s="140" t="str">
        <f>IF(I75&lt;&gt;"Yes","Required feature.","")</f>
        <v>Required feature.</v>
      </c>
      <c r="O75" s="140"/>
      <c r="P75" s="140"/>
    </row>
    <row r="76" spans="1:16">
      <c r="A76" s="181" t="s">
        <v>1</v>
      </c>
      <c r="B76" s="181" t="s">
        <v>2</v>
      </c>
      <c r="C76" s="182"/>
      <c r="D76" s="182"/>
      <c r="E76" s="279" t="s">
        <v>121</v>
      </c>
      <c r="F76" s="279"/>
      <c r="G76" s="279"/>
      <c r="H76" s="183" t="s">
        <v>3</v>
      </c>
      <c r="I76" s="24" t="s">
        <v>90</v>
      </c>
      <c r="M76" s="138" t="s">
        <v>585</v>
      </c>
      <c r="N76" s="140" t="str">
        <f>IF(I76&lt;&gt;"Yes","Required feature.","")</f>
        <v>Required feature.</v>
      </c>
      <c r="O76" s="140"/>
      <c r="P76" s="140"/>
    </row>
    <row r="77" spans="1:16" s="249" customFormat="1">
      <c r="A77" s="181" t="s">
        <v>1</v>
      </c>
      <c r="B77" s="181" t="s">
        <v>2</v>
      </c>
      <c r="C77" s="182"/>
      <c r="D77" s="182"/>
      <c r="E77" s="279" t="s">
        <v>40</v>
      </c>
      <c r="F77" s="279"/>
      <c r="G77" s="279"/>
      <c r="H77" s="183" t="s">
        <v>3</v>
      </c>
      <c r="I77" s="24" t="s">
        <v>90</v>
      </c>
      <c r="J77" s="143"/>
      <c r="K77" s="143"/>
      <c r="L77" s="143"/>
      <c r="M77" s="138" t="s">
        <v>342</v>
      </c>
      <c r="N77" s="140" t="str">
        <f>IF(I77&lt;&gt;"Yes","Required feature.","")</f>
        <v>Required feature.</v>
      </c>
      <c r="O77" s="140"/>
      <c r="P77" s="140"/>
    </row>
    <row r="78" spans="1:16" s="249" customFormat="1">
      <c r="A78" s="181" t="s">
        <v>1</v>
      </c>
      <c r="B78" s="181" t="s">
        <v>2</v>
      </c>
      <c r="C78" s="182"/>
      <c r="D78" s="182"/>
      <c r="E78" s="182"/>
      <c r="F78" s="279" t="s">
        <v>1337</v>
      </c>
      <c r="G78" s="279"/>
      <c r="H78" s="183" t="s">
        <v>4</v>
      </c>
      <c r="I78" s="24" t="s">
        <v>90</v>
      </c>
      <c r="J78" s="143"/>
      <c r="K78" s="143"/>
      <c r="L78" s="143"/>
      <c r="M78" s="138" t="s">
        <v>1338</v>
      </c>
      <c r="N78" s="140"/>
      <c r="O78" s="140"/>
      <c r="P78" s="140"/>
    </row>
    <row r="79" spans="1:16">
      <c r="A79" s="181" t="s">
        <v>1</v>
      </c>
      <c r="B79" s="181" t="s">
        <v>2</v>
      </c>
      <c r="C79" s="182"/>
      <c r="D79" s="182"/>
      <c r="E79" s="279" t="s">
        <v>49</v>
      </c>
      <c r="F79" s="279"/>
      <c r="G79" s="279"/>
      <c r="H79" s="183" t="s">
        <v>4</v>
      </c>
      <c r="I79" s="24" t="s">
        <v>90</v>
      </c>
      <c r="M79" s="138" t="s">
        <v>343</v>
      </c>
      <c r="N79" s="140"/>
      <c r="O79" s="140"/>
      <c r="P79" s="140"/>
    </row>
    <row r="80" spans="1:16" s="184" customFormat="1">
      <c r="A80" s="181" t="s">
        <v>1</v>
      </c>
      <c r="B80" s="181" t="s">
        <v>2</v>
      </c>
      <c r="C80" s="182"/>
      <c r="D80" s="182"/>
      <c r="E80" s="186"/>
      <c r="F80" s="182" t="s">
        <v>1931</v>
      </c>
      <c r="G80" s="186"/>
      <c r="H80" s="183" t="s">
        <v>4</v>
      </c>
      <c r="I80" s="24" t="s">
        <v>90</v>
      </c>
      <c r="M80" s="138" t="s">
        <v>339</v>
      </c>
      <c r="N80" s="140" t="str">
        <f>IF(AND(I79="Yes",I80&lt;&gt;"Yes"),"Required feature.","")</f>
        <v/>
      </c>
      <c r="O80" s="140"/>
      <c r="P80" s="140"/>
    </row>
    <row r="81" spans="1:16">
      <c r="A81" s="181" t="s">
        <v>1</v>
      </c>
      <c r="B81" s="181" t="s">
        <v>2</v>
      </c>
      <c r="C81" s="182"/>
      <c r="D81" s="182"/>
      <c r="E81" s="279" t="s">
        <v>41</v>
      </c>
      <c r="F81" s="279"/>
      <c r="G81" s="279"/>
      <c r="H81" s="183" t="s">
        <v>3</v>
      </c>
      <c r="I81" s="24" t="s">
        <v>90</v>
      </c>
      <c r="M81" s="138" t="s">
        <v>344</v>
      </c>
      <c r="N81" s="140" t="str">
        <f>IF(I81&lt;&gt;"Yes","Required feature.","")</f>
        <v>Required feature.</v>
      </c>
      <c r="O81" s="140"/>
      <c r="P81" s="140"/>
    </row>
    <row r="82" spans="1:16">
      <c r="A82" s="181" t="s">
        <v>1</v>
      </c>
      <c r="B82" s="181" t="s">
        <v>2</v>
      </c>
      <c r="C82" s="182"/>
      <c r="D82" s="182"/>
      <c r="E82" s="182"/>
      <c r="F82" s="279" t="s">
        <v>1340</v>
      </c>
      <c r="G82" s="279"/>
      <c r="H82" s="183" t="s">
        <v>4</v>
      </c>
      <c r="I82" s="24" t="s">
        <v>90</v>
      </c>
      <c r="M82" s="138" t="s">
        <v>1339</v>
      </c>
      <c r="N82" s="140"/>
      <c r="O82" s="140"/>
      <c r="P82" s="140"/>
    </row>
    <row r="83" spans="1:16" s="184" customFormat="1">
      <c r="A83" s="181" t="s">
        <v>1</v>
      </c>
      <c r="B83" s="181" t="s">
        <v>2</v>
      </c>
      <c r="C83" s="182"/>
      <c r="D83" s="182"/>
      <c r="E83" s="187"/>
      <c r="F83" s="188"/>
      <c r="G83" s="188" t="s">
        <v>1929</v>
      </c>
      <c r="H83" s="183" t="s">
        <v>71</v>
      </c>
      <c r="I83" s="24" t="s">
        <v>90</v>
      </c>
      <c r="M83" s="138" t="s">
        <v>340</v>
      </c>
      <c r="N83" s="140" t="str">
        <f>IF(AND(I82="Yes",I83&lt;&gt;"Yes"),"Required feature.","")</f>
        <v/>
      </c>
      <c r="O83" s="140"/>
      <c r="P83" s="140"/>
    </row>
    <row r="84" spans="1:16" s="184" customFormat="1">
      <c r="A84" s="181" t="s">
        <v>1</v>
      </c>
      <c r="B84" s="181" t="s">
        <v>2</v>
      </c>
      <c r="C84" s="182"/>
      <c r="D84" s="182"/>
      <c r="E84" s="187"/>
      <c r="F84" s="188" t="s">
        <v>1936</v>
      </c>
      <c r="G84" s="187"/>
      <c r="H84" s="183" t="s">
        <v>3</v>
      </c>
      <c r="I84" s="24" t="s">
        <v>90</v>
      </c>
      <c r="M84" s="138" t="s">
        <v>1937</v>
      </c>
      <c r="N84" s="140" t="str">
        <f>IF(I84&lt;&gt;"Yes","Required feature.","")</f>
        <v>Required feature.</v>
      </c>
      <c r="O84" s="140"/>
      <c r="P84" s="140"/>
    </row>
    <row r="85" spans="1:16">
      <c r="A85" s="181" t="s">
        <v>1</v>
      </c>
      <c r="B85" s="181" t="s">
        <v>2</v>
      </c>
      <c r="C85" s="182"/>
      <c r="D85" s="182"/>
      <c r="E85" s="279" t="s">
        <v>47</v>
      </c>
      <c r="F85" s="279"/>
      <c r="G85" s="279"/>
      <c r="H85" s="183" t="s">
        <v>3</v>
      </c>
      <c r="I85" s="24" t="s">
        <v>90</v>
      </c>
      <c r="M85" s="138" t="s">
        <v>586</v>
      </c>
      <c r="N85" s="140" t="str">
        <f>IF(I85&lt;&gt;"Yes","Required feature.","")</f>
        <v>Required feature.</v>
      </c>
      <c r="O85" s="140"/>
      <c r="P85" s="140"/>
    </row>
    <row r="86" spans="1:16" s="184" customFormat="1">
      <c r="A86" s="181" t="s">
        <v>1</v>
      </c>
      <c r="B86" s="181" t="s">
        <v>2</v>
      </c>
      <c r="C86" s="182"/>
      <c r="D86" s="182"/>
      <c r="E86" s="186"/>
      <c r="F86" s="182" t="s">
        <v>1880</v>
      </c>
      <c r="G86" s="186"/>
      <c r="H86" s="183" t="s">
        <v>4</v>
      </c>
      <c r="I86" s="24" t="s">
        <v>90</v>
      </c>
      <c r="M86" s="138" t="s">
        <v>338</v>
      </c>
      <c r="N86" s="140"/>
      <c r="O86" s="140"/>
      <c r="P86" s="140" t="s">
        <v>93</v>
      </c>
    </row>
    <row r="87" spans="1:16">
      <c r="A87" s="181" t="s">
        <v>1</v>
      </c>
      <c r="B87" s="181" t="s">
        <v>2</v>
      </c>
      <c r="C87" s="182"/>
      <c r="D87" s="182"/>
      <c r="E87" s="279" t="s">
        <v>1935</v>
      </c>
      <c r="F87" s="279"/>
      <c r="G87" s="279"/>
      <c r="H87" s="183" t="s">
        <v>94</v>
      </c>
      <c r="I87" s="24" t="s">
        <v>90</v>
      </c>
      <c r="M87" s="138" t="s">
        <v>345</v>
      </c>
      <c r="N87" s="140" t="str">
        <f>IF(AND(I$87&lt;&gt;"Yes",I$61&lt;&gt;"Yes"),"Either knob or pointer support required.","")</f>
        <v>Either knob or pointer support required.</v>
      </c>
      <c r="O87" s="140"/>
      <c r="P87" s="140"/>
    </row>
    <row r="88" spans="1:16" s="184" customFormat="1">
      <c r="A88" s="181" t="s">
        <v>1</v>
      </c>
      <c r="B88" s="181" t="s">
        <v>2</v>
      </c>
      <c r="C88" s="182"/>
      <c r="D88" s="182"/>
      <c r="E88" s="188"/>
      <c r="F88" s="272" t="s">
        <v>1932</v>
      </c>
      <c r="G88" s="273"/>
      <c r="H88" s="183" t="s">
        <v>71</v>
      </c>
      <c r="I88" s="24" t="s">
        <v>90</v>
      </c>
      <c r="J88" s="189"/>
      <c r="K88" s="189"/>
      <c r="L88" s="189"/>
      <c r="M88" s="138" t="s">
        <v>1938</v>
      </c>
      <c r="N88" s="140" t="str">
        <f>IF(AND(I87="Yes",I88&lt;&gt;"Yes"),"Required feature.","")</f>
        <v/>
      </c>
      <c r="O88" s="140"/>
      <c r="P88" s="140"/>
    </row>
    <row r="89" spans="1:16">
      <c r="A89" s="181" t="s">
        <v>1</v>
      </c>
      <c r="B89" s="181" t="s">
        <v>2</v>
      </c>
      <c r="C89" s="182"/>
      <c r="D89" s="280" t="s">
        <v>122</v>
      </c>
      <c r="E89" s="281"/>
      <c r="F89" s="281"/>
      <c r="G89" s="282"/>
      <c r="H89" s="183" t="s">
        <v>4</v>
      </c>
      <c r="I89" s="24" t="s">
        <v>90</v>
      </c>
      <c r="M89" s="138" t="s">
        <v>587</v>
      </c>
      <c r="N89" s="140"/>
      <c r="O89" s="140"/>
      <c r="P89" s="140"/>
    </row>
    <row r="90" spans="1:16">
      <c r="A90" s="181" t="s">
        <v>1</v>
      </c>
      <c r="B90" s="181" t="s">
        <v>2</v>
      </c>
      <c r="C90" s="182"/>
      <c r="D90" s="182"/>
      <c r="E90" s="279" t="s">
        <v>42</v>
      </c>
      <c r="F90" s="279"/>
      <c r="G90" s="279"/>
      <c r="H90" s="183" t="s">
        <v>4</v>
      </c>
      <c r="I90" s="24" t="s">
        <v>90</v>
      </c>
      <c r="M90" s="138" t="s">
        <v>390</v>
      </c>
      <c r="N90" s="140"/>
      <c r="O90" s="140"/>
      <c r="P90" s="140"/>
    </row>
    <row r="91" spans="1:16">
      <c r="A91" s="181" t="s">
        <v>1</v>
      </c>
      <c r="B91" s="181" t="s">
        <v>2</v>
      </c>
      <c r="C91" s="182"/>
      <c r="D91" s="182"/>
      <c r="E91" s="279" t="s">
        <v>539</v>
      </c>
      <c r="F91" s="279"/>
      <c r="G91" s="279"/>
      <c r="H91" s="183" t="s">
        <v>4</v>
      </c>
      <c r="I91" s="24" t="s">
        <v>90</v>
      </c>
      <c r="M91" s="138" t="s">
        <v>540</v>
      </c>
      <c r="N91" s="140"/>
      <c r="O91" s="140"/>
      <c r="P91" s="140"/>
    </row>
    <row r="92" spans="1:16">
      <c r="A92" s="181" t="s">
        <v>1</v>
      </c>
      <c r="B92" s="181" t="s">
        <v>2</v>
      </c>
      <c r="C92" s="182"/>
      <c r="D92" s="182"/>
      <c r="E92" s="182"/>
      <c r="F92" s="279" t="s">
        <v>123</v>
      </c>
      <c r="G92" s="279"/>
      <c r="H92" s="183" t="s">
        <v>4</v>
      </c>
      <c r="I92" s="24" t="s">
        <v>90</v>
      </c>
      <c r="M92" s="138" t="s">
        <v>541</v>
      </c>
      <c r="N92" s="140"/>
      <c r="O92" s="140"/>
      <c r="P92" s="140"/>
    </row>
    <row r="93" spans="1:16">
      <c r="A93" s="181" t="s">
        <v>1</v>
      </c>
      <c r="B93" s="181" t="s">
        <v>2</v>
      </c>
      <c r="C93" s="182"/>
      <c r="D93" s="182"/>
      <c r="E93" s="279" t="s">
        <v>43</v>
      </c>
      <c r="F93" s="279"/>
      <c r="G93" s="279"/>
      <c r="H93" s="183" t="s">
        <v>4</v>
      </c>
      <c r="I93" s="24" t="s">
        <v>90</v>
      </c>
      <c r="M93" s="138" t="s">
        <v>346</v>
      </c>
      <c r="N93" s="140"/>
      <c r="O93" s="140"/>
      <c r="P93" s="140"/>
    </row>
    <row r="94" spans="1:16">
      <c r="A94" s="181" t="s">
        <v>1</v>
      </c>
      <c r="B94" s="181" t="s">
        <v>2</v>
      </c>
      <c r="C94" s="182"/>
      <c r="D94" s="182"/>
      <c r="E94" s="279" t="s">
        <v>45</v>
      </c>
      <c r="F94" s="279"/>
      <c r="G94" s="279"/>
      <c r="H94" s="183" t="s">
        <v>3</v>
      </c>
      <c r="I94" s="24" t="s">
        <v>90</v>
      </c>
      <c r="M94" s="138" t="s">
        <v>391</v>
      </c>
      <c r="N94" s="140" t="str">
        <f>IF(I94&lt;&gt;"Yes","Required feature.","")</f>
        <v>Required feature.</v>
      </c>
      <c r="O94" s="140"/>
      <c r="P94" s="140"/>
    </row>
    <row r="95" spans="1:16">
      <c r="A95" s="181" t="s">
        <v>1</v>
      </c>
      <c r="B95" s="181" t="s">
        <v>2</v>
      </c>
      <c r="C95" s="182"/>
      <c r="D95" s="182"/>
      <c r="E95" s="182"/>
      <c r="F95" s="272" t="s">
        <v>198</v>
      </c>
      <c r="G95" s="273"/>
      <c r="H95" s="183" t="s">
        <v>3</v>
      </c>
      <c r="I95" s="24" t="s">
        <v>90</v>
      </c>
      <c r="M95" s="138" t="s">
        <v>347</v>
      </c>
      <c r="N95" s="140" t="str">
        <f>IF(I95&lt;&gt;"Yes","Required feature.","")</f>
        <v>Required feature.</v>
      </c>
      <c r="O95" s="140"/>
      <c r="P95" s="140"/>
    </row>
    <row r="96" spans="1:16">
      <c r="A96" s="254" t="s">
        <v>1</v>
      </c>
      <c r="B96" s="254" t="s">
        <v>2</v>
      </c>
      <c r="C96" s="255"/>
      <c r="D96" s="255"/>
      <c r="E96" s="255"/>
      <c r="F96" s="274" t="s">
        <v>2106</v>
      </c>
      <c r="G96" s="276"/>
      <c r="H96" s="190" t="s">
        <v>4</v>
      </c>
      <c r="I96" s="257" t="s">
        <v>90</v>
      </c>
      <c r="J96" s="184"/>
      <c r="K96" s="184"/>
      <c r="L96" s="184"/>
      <c r="M96" s="171" t="s">
        <v>2108</v>
      </c>
      <c r="N96" s="215"/>
      <c r="O96" s="215" t="s">
        <v>2110</v>
      </c>
      <c r="P96" s="215" t="s">
        <v>1949</v>
      </c>
    </row>
    <row r="97" spans="1:16">
      <c r="A97" s="254" t="s">
        <v>1</v>
      </c>
      <c r="B97" s="254" t="s">
        <v>2</v>
      </c>
      <c r="C97" s="255"/>
      <c r="D97" s="255"/>
      <c r="E97" s="255"/>
      <c r="F97" s="274" t="s">
        <v>2107</v>
      </c>
      <c r="G97" s="276"/>
      <c r="H97" s="190" t="s">
        <v>4</v>
      </c>
      <c r="I97" s="257" t="s">
        <v>90</v>
      </c>
      <c r="J97" s="184"/>
      <c r="K97" s="184"/>
      <c r="L97" s="184"/>
      <c r="M97" s="171" t="s">
        <v>2109</v>
      </c>
      <c r="N97" s="215"/>
      <c r="O97" s="215" t="s">
        <v>2110</v>
      </c>
      <c r="P97" s="215" t="s">
        <v>1949</v>
      </c>
    </row>
    <row r="98" spans="1:16">
      <c r="A98" s="254" t="s">
        <v>1</v>
      </c>
      <c r="B98" s="254" t="s">
        <v>2</v>
      </c>
      <c r="C98" s="255"/>
      <c r="D98" s="255"/>
      <c r="E98" s="255"/>
      <c r="F98" s="274" t="s">
        <v>2118</v>
      </c>
      <c r="G98" s="276"/>
      <c r="H98" s="190" t="s">
        <v>4</v>
      </c>
      <c r="I98" s="24" t="s">
        <v>90</v>
      </c>
      <c r="M98" s="171" t="s">
        <v>2120</v>
      </c>
      <c r="N98" s="140"/>
      <c r="O98" s="215" t="s">
        <v>2110</v>
      </c>
      <c r="P98" s="215" t="s">
        <v>1949</v>
      </c>
    </row>
    <row r="99" spans="1:16">
      <c r="A99" s="254" t="s">
        <v>1</v>
      </c>
      <c r="B99" s="254" t="s">
        <v>2</v>
      </c>
      <c r="C99" s="255"/>
      <c r="D99" s="255"/>
      <c r="E99" s="255"/>
      <c r="F99" s="274" t="s">
        <v>2119</v>
      </c>
      <c r="G99" s="276"/>
      <c r="H99" s="190" t="s">
        <v>4</v>
      </c>
      <c r="I99" s="24" t="s">
        <v>90</v>
      </c>
      <c r="M99" s="171" t="s">
        <v>2121</v>
      </c>
      <c r="N99" s="140"/>
      <c r="O99" s="215" t="s">
        <v>2110</v>
      </c>
      <c r="P99" s="215" t="s">
        <v>1949</v>
      </c>
    </row>
    <row r="100" spans="1:16">
      <c r="A100" s="254" t="s">
        <v>1</v>
      </c>
      <c r="B100" s="254" t="s">
        <v>2</v>
      </c>
      <c r="C100" s="255"/>
      <c r="D100" s="255"/>
      <c r="E100" s="255"/>
      <c r="F100" s="274" t="s">
        <v>2112</v>
      </c>
      <c r="G100" s="276"/>
      <c r="H100" s="190" t="s">
        <v>4</v>
      </c>
      <c r="I100" s="24" t="s">
        <v>90</v>
      </c>
      <c r="M100" s="171" t="s">
        <v>2114</v>
      </c>
      <c r="N100" s="140"/>
      <c r="O100" s="215" t="s">
        <v>2110</v>
      </c>
      <c r="P100" s="215" t="s">
        <v>1949</v>
      </c>
    </row>
    <row r="101" spans="1:16">
      <c r="A101" s="254" t="s">
        <v>1</v>
      </c>
      <c r="B101" s="254" t="s">
        <v>2</v>
      </c>
      <c r="C101" s="255"/>
      <c r="D101" s="255"/>
      <c r="E101" s="255"/>
      <c r="F101" s="274" t="s">
        <v>2113</v>
      </c>
      <c r="G101" s="276"/>
      <c r="H101" s="190" t="s">
        <v>4</v>
      </c>
      <c r="I101" s="24" t="s">
        <v>90</v>
      </c>
      <c r="M101" s="171" t="s">
        <v>2115</v>
      </c>
      <c r="N101" s="140"/>
      <c r="O101" s="215" t="s">
        <v>2110</v>
      </c>
      <c r="P101" s="215" t="s">
        <v>1949</v>
      </c>
    </row>
    <row r="102" spans="1:16">
      <c r="A102" s="181" t="s">
        <v>1</v>
      </c>
      <c r="B102" s="181" t="s">
        <v>2</v>
      </c>
      <c r="C102" s="182"/>
      <c r="D102" s="182"/>
      <c r="E102" s="182"/>
      <c r="F102" s="272" t="s">
        <v>554</v>
      </c>
      <c r="G102" s="273"/>
      <c r="H102" s="183" t="s">
        <v>3</v>
      </c>
      <c r="I102" s="24" t="s">
        <v>90</v>
      </c>
      <c r="M102" s="138" t="s">
        <v>725</v>
      </c>
      <c r="N102" s="140" t="str">
        <f>IF(I102&lt;&gt;"Yes","Required feature.","")</f>
        <v>Required feature.</v>
      </c>
      <c r="O102" s="140"/>
      <c r="P102" s="140"/>
    </row>
    <row r="103" spans="1:16">
      <c r="A103" s="181" t="s">
        <v>1</v>
      </c>
      <c r="B103" s="181" t="s">
        <v>2</v>
      </c>
      <c r="C103" s="182"/>
      <c r="D103" s="182"/>
      <c r="E103" s="182"/>
      <c r="F103" s="272" t="s">
        <v>1519</v>
      </c>
      <c r="G103" s="273"/>
      <c r="H103" s="183" t="s">
        <v>4</v>
      </c>
      <c r="I103" s="24" t="s">
        <v>90</v>
      </c>
      <c r="M103" s="138" t="s">
        <v>1530</v>
      </c>
      <c r="N103" s="140"/>
      <c r="O103" s="140"/>
      <c r="P103" s="140"/>
    </row>
    <row r="104" spans="1:16">
      <c r="A104" s="181" t="s">
        <v>1</v>
      </c>
      <c r="B104" s="181" t="s">
        <v>2</v>
      </c>
      <c r="C104" s="182"/>
      <c r="D104" s="182"/>
      <c r="E104" s="182"/>
      <c r="F104" s="272" t="s">
        <v>1531</v>
      </c>
      <c r="G104" s="273"/>
      <c r="H104" s="183" t="s">
        <v>4</v>
      </c>
      <c r="I104" s="24" t="s">
        <v>90</v>
      </c>
      <c r="M104" s="138" t="s">
        <v>1532</v>
      </c>
      <c r="N104" s="140"/>
      <c r="O104" s="140"/>
      <c r="P104" s="140"/>
    </row>
    <row r="105" spans="1:16">
      <c r="A105" s="181" t="s">
        <v>1</v>
      </c>
      <c r="B105" s="181" t="s">
        <v>2</v>
      </c>
      <c r="C105" s="182"/>
      <c r="D105" s="182"/>
      <c r="E105" s="182"/>
      <c r="F105" s="279" t="s">
        <v>124</v>
      </c>
      <c r="G105" s="279"/>
      <c r="H105" s="183" t="s">
        <v>4</v>
      </c>
      <c r="I105" s="24" t="s">
        <v>90</v>
      </c>
      <c r="M105" s="138" t="s">
        <v>348</v>
      </c>
      <c r="N105" s="140"/>
      <c r="O105" s="140"/>
      <c r="P105" s="140"/>
    </row>
    <row r="106" spans="1:16">
      <c r="A106" s="181" t="s">
        <v>1</v>
      </c>
      <c r="B106" s="181" t="s">
        <v>2</v>
      </c>
      <c r="C106" s="182"/>
      <c r="D106" s="182"/>
      <c r="E106" s="182"/>
      <c r="F106" s="279" t="s">
        <v>125</v>
      </c>
      <c r="G106" s="279"/>
      <c r="H106" s="183" t="s">
        <v>4</v>
      </c>
      <c r="I106" s="24" t="s">
        <v>90</v>
      </c>
      <c r="M106" s="138" t="s">
        <v>349</v>
      </c>
      <c r="N106" s="140"/>
      <c r="O106" s="140"/>
      <c r="P106" s="140"/>
    </row>
    <row r="107" spans="1:16">
      <c r="A107" s="181" t="s">
        <v>1</v>
      </c>
      <c r="B107" s="181" t="s">
        <v>2</v>
      </c>
      <c r="C107" s="182"/>
      <c r="D107" s="182"/>
      <c r="E107" s="279" t="s">
        <v>46</v>
      </c>
      <c r="F107" s="279"/>
      <c r="G107" s="279"/>
      <c r="H107" s="183" t="s">
        <v>4</v>
      </c>
      <c r="I107" s="24" t="s">
        <v>90</v>
      </c>
      <c r="M107" s="138" t="s">
        <v>350</v>
      </c>
      <c r="N107" s="140"/>
      <c r="O107" s="140"/>
      <c r="P107" s="140"/>
    </row>
    <row r="108" spans="1:16">
      <c r="A108" s="181" t="s">
        <v>1</v>
      </c>
      <c r="B108" s="181" t="s">
        <v>2</v>
      </c>
      <c r="C108" s="182"/>
      <c r="D108" s="182"/>
      <c r="E108" s="279" t="s">
        <v>126</v>
      </c>
      <c r="F108" s="279"/>
      <c r="G108" s="279"/>
      <c r="H108" s="183" t="s">
        <v>4</v>
      </c>
      <c r="I108" s="24" t="s">
        <v>90</v>
      </c>
      <c r="M108" s="138" t="s">
        <v>392</v>
      </c>
      <c r="N108" s="140"/>
      <c r="O108" s="140"/>
      <c r="P108" s="140"/>
    </row>
    <row r="109" spans="1:16">
      <c r="A109" s="181" t="s">
        <v>1</v>
      </c>
      <c r="B109" s="181" t="s">
        <v>2</v>
      </c>
      <c r="C109" s="182"/>
      <c r="D109" s="182"/>
      <c r="E109" s="182"/>
      <c r="F109" s="279" t="s">
        <v>132</v>
      </c>
      <c r="G109" s="279"/>
      <c r="H109" s="183" t="s">
        <v>4</v>
      </c>
      <c r="I109" s="24" t="s">
        <v>90</v>
      </c>
      <c r="M109" s="138" t="s">
        <v>393</v>
      </c>
      <c r="N109" s="140"/>
      <c r="O109" s="140"/>
      <c r="P109" s="140"/>
    </row>
    <row r="110" spans="1:16">
      <c r="A110" s="181" t="s">
        <v>1</v>
      </c>
      <c r="B110" s="181" t="s">
        <v>2</v>
      </c>
      <c r="C110" s="182"/>
      <c r="D110" s="182"/>
      <c r="E110" s="182"/>
      <c r="F110" s="182"/>
      <c r="G110" s="186" t="s">
        <v>128</v>
      </c>
      <c r="H110" s="183" t="s">
        <v>4</v>
      </c>
      <c r="I110" s="24" t="s">
        <v>90</v>
      </c>
      <c r="M110" s="138" t="s">
        <v>394</v>
      </c>
      <c r="N110" s="140"/>
      <c r="O110" s="140"/>
      <c r="P110" s="140"/>
    </row>
    <row r="111" spans="1:16">
      <c r="A111" s="181" t="s">
        <v>1</v>
      </c>
      <c r="B111" s="181" t="s">
        <v>2</v>
      </c>
      <c r="C111" s="182"/>
      <c r="D111" s="182"/>
      <c r="E111" s="182"/>
      <c r="F111" s="182"/>
      <c r="G111" s="186" t="s">
        <v>127</v>
      </c>
      <c r="H111" s="183" t="s">
        <v>71</v>
      </c>
      <c r="I111" s="24" t="s">
        <v>90</v>
      </c>
      <c r="M111" s="138" t="s">
        <v>395</v>
      </c>
      <c r="N111" s="140" t="str">
        <f>IF(AND(I109="Yes",I111&lt;&gt;"Yes"),"Required feature.","")</f>
        <v/>
      </c>
      <c r="O111" s="140"/>
      <c r="P111" s="140"/>
    </row>
    <row r="112" spans="1:16">
      <c r="A112" s="181" t="s">
        <v>1</v>
      </c>
      <c r="B112" s="181" t="s">
        <v>2</v>
      </c>
      <c r="C112" s="182"/>
      <c r="D112" s="182"/>
      <c r="E112" s="182"/>
      <c r="F112" s="272" t="s">
        <v>204</v>
      </c>
      <c r="G112" s="273"/>
      <c r="H112" s="183" t="s">
        <v>4</v>
      </c>
      <c r="I112" s="24" t="s">
        <v>90</v>
      </c>
      <c r="M112" s="138" t="s">
        <v>396</v>
      </c>
      <c r="N112" s="140"/>
      <c r="O112" s="140"/>
      <c r="P112" s="140"/>
    </row>
    <row r="113" spans="1:16">
      <c r="A113" s="181" t="s">
        <v>1</v>
      </c>
      <c r="B113" s="181" t="s">
        <v>2</v>
      </c>
      <c r="C113" s="182"/>
      <c r="D113" s="182"/>
      <c r="E113" s="182"/>
      <c r="F113" s="182"/>
      <c r="G113" s="186" t="s">
        <v>205</v>
      </c>
      <c r="H113" s="183" t="s">
        <v>71</v>
      </c>
      <c r="I113" s="24" t="s">
        <v>90</v>
      </c>
      <c r="M113" s="138" t="s">
        <v>398</v>
      </c>
      <c r="N113" s="140" t="str">
        <f>IF(AND(I112="Yes",I113&lt;&gt;"Yes"),"Required feature.","")</f>
        <v/>
      </c>
      <c r="O113" s="140"/>
      <c r="P113" s="140"/>
    </row>
    <row r="114" spans="1:16">
      <c r="A114" s="181" t="s">
        <v>1</v>
      </c>
      <c r="B114" s="181" t="s">
        <v>2</v>
      </c>
      <c r="C114" s="182"/>
      <c r="D114" s="182"/>
      <c r="E114" s="182"/>
      <c r="F114" s="182"/>
      <c r="G114" s="186" t="s">
        <v>206</v>
      </c>
      <c r="H114" s="183" t="s">
        <v>71</v>
      </c>
      <c r="I114" s="24" t="s">
        <v>90</v>
      </c>
      <c r="M114" s="138" t="s">
        <v>397</v>
      </c>
      <c r="N114" s="140" t="str">
        <f>IF(AND(I112="Yes",I114&lt;&gt;"Yes"),"Required feature.","")</f>
        <v/>
      </c>
      <c r="O114" s="140"/>
      <c r="P114" s="140"/>
    </row>
    <row r="115" spans="1:16">
      <c r="A115" s="181" t="s">
        <v>1</v>
      </c>
      <c r="B115" s="181" t="s">
        <v>2</v>
      </c>
      <c r="C115" s="182"/>
      <c r="D115" s="182"/>
      <c r="E115" s="182"/>
      <c r="F115" s="279" t="s">
        <v>133</v>
      </c>
      <c r="G115" s="279"/>
      <c r="H115" s="183" t="s">
        <v>4</v>
      </c>
      <c r="I115" s="24" t="s">
        <v>90</v>
      </c>
      <c r="M115" s="138" t="s">
        <v>399</v>
      </c>
      <c r="N115" s="140"/>
      <c r="O115" s="140"/>
      <c r="P115" s="140"/>
    </row>
    <row r="116" spans="1:16">
      <c r="A116" s="181" t="s">
        <v>1</v>
      </c>
      <c r="B116" s="181" t="s">
        <v>2</v>
      </c>
      <c r="C116" s="182"/>
      <c r="D116" s="182"/>
      <c r="E116" s="182"/>
      <c r="F116" s="182"/>
      <c r="G116" s="186" t="s">
        <v>208</v>
      </c>
      <c r="H116" s="183" t="s">
        <v>4</v>
      </c>
      <c r="I116" s="24" t="s">
        <v>90</v>
      </c>
      <c r="M116" s="138" t="s">
        <v>400</v>
      </c>
      <c r="N116" s="140"/>
      <c r="O116" s="140"/>
      <c r="P116" s="140"/>
    </row>
    <row r="117" spans="1:16">
      <c r="A117" s="181" t="s">
        <v>1</v>
      </c>
      <c r="B117" s="181" t="s">
        <v>2</v>
      </c>
      <c r="C117" s="182"/>
      <c r="D117" s="182"/>
      <c r="E117" s="182"/>
      <c r="F117" s="182"/>
      <c r="G117" s="186" t="s">
        <v>207</v>
      </c>
      <c r="H117" s="183" t="s">
        <v>4</v>
      </c>
      <c r="I117" s="24" t="s">
        <v>90</v>
      </c>
      <c r="M117" s="138" t="s">
        <v>401</v>
      </c>
      <c r="N117" s="140"/>
      <c r="O117" s="140"/>
      <c r="P117" s="140"/>
    </row>
    <row r="118" spans="1:16">
      <c r="A118" s="181" t="s">
        <v>1</v>
      </c>
      <c r="B118" s="181" t="s">
        <v>2</v>
      </c>
      <c r="C118" s="182"/>
      <c r="D118" s="182"/>
      <c r="E118" s="188" t="s">
        <v>50</v>
      </c>
      <c r="F118" s="191"/>
      <c r="G118" s="192"/>
      <c r="H118" s="183" t="s">
        <v>4</v>
      </c>
      <c r="I118" s="24" t="s">
        <v>90</v>
      </c>
      <c r="M118" s="138" t="s">
        <v>351</v>
      </c>
      <c r="N118" s="140"/>
      <c r="O118" s="140"/>
      <c r="P118" s="140"/>
    </row>
    <row r="119" spans="1:16">
      <c r="A119" s="181" t="s">
        <v>1</v>
      </c>
      <c r="B119" s="181" t="s">
        <v>2</v>
      </c>
      <c r="C119" s="182"/>
      <c r="D119" s="182"/>
      <c r="E119" s="182"/>
      <c r="F119" s="279" t="s">
        <v>1341</v>
      </c>
      <c r="G119" s="279"/>
      <c r="H119" s="183" t="s">
        <v>4</v>
      </c>
      <c r="I119" s="24" t="s">
        <v>90</v>
      </c>
      <c r="M119" s="138" t="s">
        <v>352</v>
      </c>
      <c r="N119" s="140"/>
      <c r="O119" s="140"/>
      <c r="P119" s="140"/>
    </row>
    <row r="120" spans="1:16" s="184" customFormat="1">
      <c r="A120" s="181" t="s">
        <v>1</v>
      </c>
      <c r="B120" s="181" t="s">
        <v>2</v>
      </c>
      <c r="C120" s="182"/>
      <c r="D120" s="182"/>
      <c r="E120" s="182"/>
      <c r="F120" s="279" t="s">
        <v>1886</v>
      </c>
      <c r="G120" s="279"/>
      <c r="H120" s="183" t="s">
        <v>4</v>
      </c>
      <c r="I120" s="24" t="s">
        <v>90</v>
      </c>
      <c r="M120" s="138" t="s">
        <v>1883</v>
      </c>
      <c r="N120" s="140"/>
      <c r="O120" s="140"/>
      <c r="P120" s="140"/>
    </row>
    <row r="121" spans="1:16">
      <c r="A121" s="181" t="s">
        <v>1</v>
      </c>
      <c r="B121" s="181" t="s">
        <v>2</v>
      </c>
      <c r="C121" s="182"/>
      <c r="D121" s="182"/>
      <c r="E121" s="279" t="s">
        <v>194</v>
      </c>
      <c r="F121" s="279"/>
      <c r="G121" s="279"/>
      <c r="H121" s="183" t="s">
        <v>4</v>
      </c>
      <c r="I121" s="24" t="s">
        <v>90</v>
      </c>
      <c r="M121" s="138" t="s">
        <v>353</v>
      </c>
      <c r="N121" s="140"/>
      <c r="O121" s="140"/>
      <c r="P121" s="140"/>
    </row>
    <row r="122" spans="1:16">
      <c r="A122" s="181" t="s">
        <v>1</v>
      </c>
      <c r="B122" s="181" t="s">
        <v>2</v>
      </c>
      <c r="C122" s="182"/>
      <c r="D122" s="182"/>
      <c r="E122" s="182"/>
      <c r="F122" s="272" t="s">
        <v>68</v>
      </c>
      <c r="G122" s="273"/>
      <c r="H122" s="183" t="s">
        <v>71</v>
      </c>
      <c r="I122" s="24" t="s">
        <v>90</v>
      </c>
      <c r="M122" s="138" t="s">
        <v>354</v>
      </c>
      <c r="N122" s="140" t="str">
        <f>IF(AND(I121="Yes",I122&lt;&gt;"Yes"),"Required feature.","")</f>
        <v/>
      </c>
      <c r="O122" s="140"/>
      <c r="P122" s="140"/>
    </row>
    <row r="123" spans="1:16">
      <c r="A123" s="181" t="s">
        <v>1</v>
      </c>
      <c r="B123" s="181" t="s">
        <v>2</v>
      </c>
      <c r="C123" s="182"/>
      <c r="D123" s="182"/>
      <c r="E123" s="182"/>
      <c r="F123" s="193"/>
      <c r="G123" s="194" t="s">
        <v>195</v>
      </c>
      <c r="H123" s="183" t="s">
        <v>94</v>
      </c>
      <c r="I123" s="24" t="s">
        <v>90</v>
      </c>
      <c r="M123" s="138" t="s">
        <v>355</v>
      </c>
      <c r="N123" s="140"/>
      <c r="O123" s="140"/>
      <c r="P123" s="140"/>
    </row>
    <row r="124" spans="1:16">
      <c r="A124" s="181" t="s">
        <v>1</v>
      </c>
      <c r="B124" s="181" t="s">
        <v>2</v>
      </c>
      <c r="C124" s="182"/>
      <c r="D124" s="182"/>
      <c r="E124" s="182"/>
      <c r="F124" s="193"/>
      <c r="G124" s="194" t="s">
        <v>196</v>
      </c>
      <c r="H124" s="183" t="s">
        <v>94</v>
      </c>
      <c r="I124" s="24" t="s">
        <v>90</v>
      </c>
      <c r="M124" s="138" t="s">
        <v>356</v>
      </c>
      <c r="N124" s="140"/>
      <c r="O124" s="140"/>
      <c r="P124" s="140"/>
    </row>
    <row r="125" spans="1:16">
      <c r="A125" s="181" t="s">
        <v>1</v>
      </c>
      <c r="B125" s="181" t="s">
        <v>2</v>
      </c>
      <c r="C125" s="182"/>
      <c r="D125" s="182"/>
      <c r="E125" s="182"/>
      <c r="F125" s="193"/>
      <c r="G125" s="194" t="s">
        <v>197</v>
      </c>
      <c r="H125" s="183" t="s">
        <v>94</v>
      </c>
      <c r="I125" s="24" t="s">
        <v>90</v>
      </c>
      <c r="M125" s="138" t="s">
        <v>357</v>
      </c>
      <c r="N125" s="140"/>
      <c r="O125" s="140"/>
      <c r="P125" s="140"/>
    </row>
    <row r="126" spans="1:16">
      <c r="A126" s="181" t="s">
        <v>1</v>
      </c>
      <c r="B126" s="181" t="s">
        <v>2</v>
      </c>
      <c r="C126" s="182"/>
      <c r="D126" s="182"/>
      <c r="E126" s="182"/>
      <c r="F126" s="193"/>
      <c r="G126" s="194" t="s">
        <v>72</v>
      </c>
      <c r="H126" s="183" t="s">
        <v>4</v>
      </c>
      <c r="I126" s="24" t="s">
        <v>90</v>
      </c>
      <c r="M126" s="138" t="s">
        <v>1536</v>
      </c>
      <c r="N126" s="140"/>
      <c r="O126" s="140"/>
      <c r="P126" s="140"/>
    </row>
    <row r="127" spans="1:16">
      <c r="A127" s="181" t="s">
        <v>1</v>
      </c>
      <c r="B127" s="181" t="s">
        <v>2</v>
      </c>
      <c r="C127" s="182"/>
      <c r="D127" s="182"/>
      <c r="E127" s="182"/>
      <c r="F127" s="272" t="s">
        <v>69</v>
      </c>
      <c r="G127" s="273"/>
      <c r="H127" s="183" t="s">
        <v>71</v>
      </c>
      <c r="I127" s="24" t="s">
        <v>90</v>
      </c>
      <c r="M127" s="138" t="s">
        <v>358</v>
      </c>
      <c r="N127" s="140" t="str">
        <f>IF(AND(I121="Yes",I127&lt;&gt;"Yes"),"Required feature.","")</f>
        <v/>
      </c>
      <c r="O127" s="140"/>
      <c r="P127" s="140"/>
    </row>
    <row r="128" spans="1:16">
      <c r="A128" s="181" t="s">
        <v>1</v>
      </c>
      <c r="B128" s="181" t="s">
        <v>2</v>
      </c>
      <c r="C128" s="182"/>
      <c r="D128" s="279" t="s">
        <v>472</v>
      </c>
      <c r="E128" s="279"/>
      <c r="F128" s="279"/>
      <c r="G128" s="279"/>
      <c r="H128" s="183" t="s">
        <v>3</v>
      </c>
      <c r="I128" s="24" t="s">
        <v>90</v>
      </c>
      <c r="M128" s="138" t="s">
        <v>481</v>
      </c>
      <c r="N128" s="140" t="str">
        <f>IF(I128&lt;&gt;"Yes","Required feature.","")</f>
        <v>Required feature.</v>
      </c>
      <c r="O128" s="140"/>
      <c r="P128" s="140"/>
    </row>
    <row r="129" spans="1:16">
      <c r="A129" s="181" t="s">
        <v>1</v>
      </c>
      <c r="B129" s="181" t="s">
        <v>2</v>
      </c>
      <c r="C129" s="182"/>
      <c r="D129" s="182"/>
      <c r="E129" s="272" t="s">
        <v>473</v>
      </c>
      <c r="F129" s="277"/>
      <c r="G129" s="273"/>
      <c r="H129" s="183" t="s">
        <v>91</v>
      </c>
      <c r="I129" s="24" t="s">
        <v>90</v>
      </c>
      <c r="M129" s="138" t="s">
        <v>359</v>
      </c>
      <c r="N129" s="140"/>
      <c r="O129" s="140"/>
      <c r="P129" s="140"/>
    </row>
    <row r="130" spans="1:16">
      <c r="A130" s="181" t="s">
        <v>1</v>
      </c>
      <c r="B130" s="181" t="s">
        <v>2</v>
      </c>
      <c r="C130" s="182"/>
      <c r="D130" s="182"/>
      <c r="E130" s="188"/>
      <c r="F130" s="272" t="s">
        <v>478</v>
      </c>
      <c r="G130" s="273"/>
      <c r="H130" s="183" t="s">
        <v>91</v>
      </c>
      <c r="I130" s="24" t="s">
        <v>90</v>
      </c>
      <c r="M130" s="138" t="s">
        <v>428</v>
      </c>
      <c r="N130" s="140"/>
      <c r="O130" s="140"/>
      <c r="P130" s="140"/>
    </row>
    <row r="131" spans="1:16">
      <c r="A131" s="181" t="s">
        <v>1</v>
      </c>
      <c r="B131" s="181" t="s">
        <v>2</v>
      </c>
      <c r="C131" s="182"/>
      <c r="D131" s="182"/>
      <c r="E131" s="188"/>
      <c r="F131" s="193"/>
      <c r="G131" s="193" t="s">
        <v>470</v>
      </c>
      <c r="H131" s="183" t="s">
        <v>71</v>
      </c>
      <c r="I131" s="24" t="s">
        <v>90</v>
      </c>
      <c r="M131" s="138" t="s">
        <v>726</v>
      </c>
      <c r="N131" s="140" t="str">
        <f>IF(AND(I130="Yes",I131&lt;&gt;"Yes"),"Required feature.","")</f>
        <v/>
      </c>
      <c r="O131" s="140"/>
      <c r="P131" s="140"/>
    </row>
    <row r="132" spans="1:16">
      <c r="A132" s="181" t="s">
        <v>1</v>
      </c>
      <c r="B132" s="181" t="s">
        <v>2</v>
      </c>
      <c r="C132" s="182"/>
      <c r="D132" s="182"/>
      <c r="E132" s="182"/>
      <c r="F132" s="195"/>
      <c r="G132" s="195" t="s">
        <v>471</v>
      </c>
      <c r="H132" s="183" t="s">
        <v>4</v>
      </c>
      <c r="I132" s="24" t="s">
        <v>90</v>
      </c>
      <c r="M132" s="138" t="s">
        <v>727</v>
      </c>
      <c r="N132" s="140"/>
      <c r="O132" s="140"/>
      <c r="P132" s="140"/>
    </row>
    <row r="133" spans="1:16">
      <c r="A133" s="181" t="s">
        <v>1</v>
      </c>
      <c r="B133" s="181" t="s">
        <v>2</v>
      </c>
      <c r="C133" s="182"/>
      <c r="D133" s="182"/>
      <c r="E133" s="182"/>
      <c r="F133" s="272" t="s">
        <v>477</v>
      </c>
      <c r="G133" s="273"/>
      <c r="H133" s="183" t="s">
        <v>91</v>
      </c>
      <c r="I133" s="24" t="s">
        <v>90</v>
      </c>
      <c r="M133" s="138" t="s">
        <v>429</v>
      </c>
      <c r="N133" s="140"/>
      <c r="O133" s="140"/>
      <c r="P133" s="140"/>
    </row>
    <row r="134" spans="1:16">
      <c r="A134" s="181" t="s">
        <v>1</v>
      </c>
      <c r="B134" s="181" t="s">
        <v>2</v>
      </c>
      <c r="C134" s="182"/>
      <c r="D134" s="182"/>
      <c r="E134" s="182"/>
      <c r="F134" s="195"/>
      <c r="G134" s="195" t="s">
        <v>470</v>
      </c>
      <c r="H134" s="183" t="s">
        <v>71</v>
      </c>
      <c r="I134" s="24" t="s">
        <v>90</v>
      </c>
      <c r="M134" s="138" t="s">
        <v>728</v>
      </c>
      <c r="N134" s="140" t="str">
        <f>IF(AND(I133="Yes",I134&lt;&gt;"Yes"),"Required feature.","")</f>
        <v/>
      </c>
      <c r="O134" s="140"/>
      <c r="P134" s="140"/>
    </row>
    <row r="135" spans="1:16">
      <c r="A135" s="181" t="s">
        <v>1</v>
      </c>
      <c r="B135" s="181" t="s">
        <v>2</v>
      </c>
      <c r="C135" s="182"/>
      <c r="D135" s="182"/>
      <c r="E135" s="182"/>
      <c r="F135" s="195"/>
      <c r="G135" s="182" t="s">
        <v>475</v>
      </c>
      <c r="H135" s="183" t="s">
        <v>4</v>
      </c>
      <c r="I135" s="24" t="s">
        <v>90</v>
      </c>
      <c r="M135" s="138" t="s">
        <v>729</v>
      </c>
      <c r="N135" s="140"/>
      <c r="O135" s="140"/>
      <c r="P135" s="140"/>
    </row>
    <row r="136" spans="1:16">
      <c r="A136" s="181" t="s">
        <v>1</v>
      </c>
      <c r="B136" s="181" t="s">
        <v>2</v>
      </c>
      <c r="C136" s="182"/>
      <c r="D136" s="182"/>
      <c r="E136" s="182"/>
      <c r="F136" s="195"/>
      <c r="G136" s="182" t="s">
        <v>476</v>
      </c>
      <c r="H136" s="183" t="s">
        <v>71</v>
      </c>
      <c r="I136" s="24" t="s">
        <v>90</v>
      </c>
      <c r="M136" s="138" t="s">
        <v>479</v>
      </c>
      <c r="N136" s="140" t="str">
        <f>IF(AND(I133="Yes",I136&lt;&gt;"Yes"),"Required feature.","")</f>
        <v/>
      </c>
      <c r="O136" s="140"/>
      <c r="P136" s="140"/>
    </row>
    <row r="137" spans="1:16">
      <c r="A137" s="181" t="s">
        <v>1</v>
      </c>
      <c r="B137" s="181" t="s">
        <v>2</v>
      </c>
      <c r="C137" s="182"/>
      <c r="D137" s="182"/>
      <c r="E137" s="182"/>
      <c r="F137" s="272" t="s">
        <v>707</v>
      </c>
      <c r="G137" s="273"/>
      <c r="H137" s="183" t="s">
        <v>91</v>
      </c>
      <c r="I137" s="24" t="s">
        <v>90</v>
      </c>
      <c r="M137" s="138" t="s">
        <v>708</v>
      </c>
      <c r="N137" s="140"/>
      <c r="O137" s="140"/>
      <c r="P137" s="140"/>
    </row>
    <row r="138" spans="1:16">
      <c r="A138" s="181" t="s">
        <v>1</v>
      </c>
      <c r="B138" s="181" t="s">
        <v>2</v>
      </c>
      <c r="C138" s="182"/>
      <c r="D138" s="182"/>
      <c r="E138" s="188"/>
      <c r="F138" s="193"/>
      <c r="G138" s="193" t="s">
        <v>470</v>
      </c>
      <c r="H138" s="183" t="s">
        <v>71</v>
      </c>
      <c r="I138" s="24" t="s">
        <v>90</v>
      </c>
      <c r="M138" s="138" t="s">
        <v>360</v>
      </c>
      <c r="N138" s="140" t="str">
        <f>IF(AND(I137="Yes",I138&lt;&gt;"Yes"),"Required feature.","")</f>
        <v/>
      </c>
      <c r="O138" s="140"/>
      <c r="P138" s="140"/>
    </row>
    <row r="139" spans="1:16">
      <c r="A139" s="181" t="s">
        <v>1</v>
      </c>
      <c r="B139" s="181" t="s">
        <v>2</v>
      </c>
      <c r="C139" s="182"/>
      <c r="D139" s="182"/>
      <c r="E139" s="182"/>
      <c r="F139" s="195"/>
      <c r="G139" s="195" t="s">
        <v>471</v>
      </c>
      <c r="H139" s="183" t="s">
        <v>4</v>
      </c>
      <c r="I139" s="24" t="s">
        <v>90</v>
      </c>
      <c r="M139" s="138" t="s">
        <v>709</v>
      </c>
      <c r="N139" s="140"/>
      <c r="O139" s="140"/>
      <c r="P139" s="140"/>
    </row>
    <row r="140" spans="1:16">
      <c r="A140" s="181" t="s">
        <v>1</v>
      </c>
      <c r="B140" s="181" t="s">
        <v>2</v>
      </c>
      <c r="C140" s="182"/>
      <c r="D140" s="182"/>
      <c r="E140" s="280" t="s">
        <v>474</v>
      </c>
      <c r="F140" s="281"/>
      <c r="G140" s="282"/>
      <c r="H140" s="183" t="s">
        <v>91</v>
      </c>
      <c r="I140" s="24" t="s">
        <v>90</v>
      </c>
      <c r="M140" s="138" t="s">
        <v>480</v>
      </c>
      <c r="N140" s="140"/>
      <c r="O140" s="140"/>
      <c r="P140" s="140"/>
    </row>
    <row r="141" spans="1:16" s="184" customFormat="1">
      <c r="A141" s="181" t="s">
        <v>1</v>
      </c>
      <c r="B141" s="181" t="s">
        <v>2</v>
      </c>
      <c r="C141" s="182" t="s">
        <v>2027</v>
      </c>
      <c r="D141" s="182"/>
      <c r="E141" s="188"/>
      <c r="F141" s="191"/>
      <c r="G141" s="192"/>
      <c r="H141" s="183" t="s">
        <v>3</v>
      </c>
      <c r="I141" s="24" t="s">
        <v>90</v>
      </c>
      <c r="M141" s="138" t="s">
        <v>2028</v>
      </c>
      <c r="N141" s="140" t="str">
        <f>IF(I141&lt;&gt;"Yes","Required feature.","")</f>
        <v>Required feature.</v>
      </c>
      <c r="O141" s="140" t="s">
        <v>2029</v>
      </c>
      <c r="P141" s="140" t="s">
        <v>1948</v>
      </c>
    </row>
    <row r="142" spans="1:16">
      <c r="A142" s="181" t="s">
        <v>1</v>
      </c>
      <c r="B142" s="181" t="s">
        <v>129</v>
      </c>
      <c r="C142" s="280" t="s">
        <v>9</v>
      </c>
      <c r="D142" s="281"/>
      <c r="E142" s="281"/>
      <c r="F142" s="281"/>
      <c r="G142" s="282"/>
      <c r="H142" s="183" t="s">
        <v>3</v>
      </c>
      <c r="I142" s="24" t="s">
        <v>90</v>
      </c>
      <c r="M142" s="138" t="s">
        <v>402</v>
      </c>
      <c r="N142" s="140" t="str">
        <f>IF(I142&lt;&gt;"Yes","Required feature.","")</f>
        <v>Required feature.</v>
      </c>
      <c r="O142" s="140"/>
      <c r="P142" s="140"/>
    </row>
    <row r="143" spans="1:16">
      <c r="A143" s="181" t="s">
        <v>1</v>
      </c>
      <c r="B143" s="181" t="s">
        <v>129</v>
      </c>
      <c r="C143" s="182"/>
      <c r="D143" s="279" t="s">
        <v>51</v>
      </c>
      <c r="E143" s="279"/>
      <c r="F143" s="279"/>
      <c r="G143" s="279"/>
      <c r="H143" s="183" t="s">
        <v>3</v>
      </c>
      <c r="I143" s="24" t="s">
        <v>90</v>
      </c>
      <c r="M143" s="138" t="s">
        <v>542</v>
      </c>
      <c r="N143" s="140" t="str">
        <f>IF(I143&lt;&gt;"Yes","Required feature.","")</f>
        <v>Required feature.</v>
      </c>
      <c r="O143" s="140"/>
      <c r="P143" s="140"/>
    </row>
    <row r="144" spans="1:16">
      <c r="A144" s="181" t="s">
        <v>1</v>
      </c>
      <c r="B144" s="181" t="s">
        <v>129</v>
      </c>
      <c r="C144" s="182"/>
      <c r="D144" s="182"/>
      <c r="E144" s="278" t="s">
        <v>142</v>
      </c>
      <c r="F144" s="278"/>
      <c r="G144" s="278"/>
      <c r="H144" s="183" t="s">
        <v>4</v>
      </c>
      <c r="I144" s="24" t="s">
        <v>90</v>
      </c>
      <c r="M144" s="138" t="s">
        <v>361</v>
      </c>
      <c r="N144" s="140"/>
      <c r="O144" s="140"/>
      <c r="P144" s="140"/>
    </row>
    <row r="145" spans="1:16">
      <c r="A145" s="181" t="s">
        <v>1</v>
      </c>
      <c r="B145" s="181" t="s">
        <v>129</v>
      </c>
      <c r="C145" s="182"/>
      <c r="D145" s="182"/>
      <c r="E145" s="278" t="s">
        <v>143</v>
      </c>
      <c r="F145" s="278"/>
      <c r="G145" s="278"/>
      <c r="H145" s="183" t="s">
        <v>4</v>
      </c>
      <c r="I145" s="24" t="s">
        <v>90</v>
      </c>
      <c r="M145" s="138" t="s">
        <v>362</v>
      </c>
      <c r="N145" s="140"/>
      <c r="O145" s="140"/>
      <c r="P145" s="140"/>
    </row>
    <row r="146" spans="1:16">
      <c r="A146" s="181" t="s">
        <v>1</v>
      </c>
      <c r="B146" s="181" t="s">
        <v>129</v>
      </c>
      <c r="C146" s="182"/>
      <c r="D146" s="182"/>
      <c r="E146" s="278" t="s">
        <v>144</v>
      </c>
      <c r="F146" s="278"/>
      <c r="G146" s="278"/>
      <c r="H146" s="183" t="s">
        <v>3</v>
      </c>
      <c r="I146" s="24" t="s">
        <v>90</v>
      </c>
      <c r="M146" s="138" t="s">
        <v>588</v>
      </c>
      <c r="N146" s="140" t="str">
        <f>IF(I146&lt;&gt;"Yes","Required feature.","")</f>
        <v>Required feature.</v>
      </c>
      <c r="O146" s="140"/>
      <c r="P146" s="140"/>
    </row>
    <row r="147" spans="1:16">
      <c r="A147" s="181" t="s">
        <v>1</v>
      </c>
      <c r="B147" s="181" t="s">
        <v>129</v>
      </c>
      <c r="C147" s="182"/>
      <c r="D147" s="279" t="s">
        <v>52</v>
      </c>
      <c r="E147" s="279"/>
      <c r="F147" s="279"/>
      <c r="G147" s="279"/>
      <c r="H147" s="183" t="s">
        <v>4</v>
      </c>
      <c r="I147" s="24" t="s">
        <v>90</v>
      </c>
      <c r="M147" s="138" t="s">
        <v>403</v>
      </c>
      <c r="N147" s="140"/>
      <c r="O147" s="140"/>
      <c r="P147" s="140"/>
    </row>
    <row r="148" spans="1:16">
      <c r="A148" s="181" t="s">
        <v>1</v>
      </c>
      <c r="B148" s="181" t="s">
        <v>129</v>
      </c>
      <c r="C148" s="182"/>
      <c r="D148" s="182"/>
      <c r="E148" s="278" t="s">
        <v>145</v>
      </c>
      <c r="F148" s="278"/>
      <c r="G148" s="278"/>
      <c r="H148" s="183" t="s">
        <v>4</v>
      </c>
      <c r="I148" s="24" t="s">
        <v>90</v>
      </c>
      <c r="M148" s="138" t="s">
        <v>363</v>
      </c>
      <c r="N148" s="140"/>
      <c r="O148" s="140"/>
      <c r="P148" s="140"/>
    </row>
    <row r="149" spans="1:16">
      <c r="A149" s="181" t="s">
        <v>1</v>
      </c>
      <c r="B149" s="181" t="s">
        <v>129</v>
      </c>
      <c r="C149" s="182"/>
      <c r="D149" s="182"/>
      <c r="E149" s="278" t="s">
        <v>146</v>
      </c>
      <c r="F149" s="278"/>
      <c r="G149" s="278"/>
      <c r="H149" s="183" t="s">
        <v>4</v>
      </c>
      <c r="I149" s="24" t="s">
        <v>90</v>
      </c>
      <c r="M149" s="138" t="s">
        <v>364</v>
      </c>
      <c r="N149" s="140"/>
      <c r="O149" s="140"/>
      <c r="P149" s="140"/>
    </row>
    <row r="150" spans="1:16">
      <c r="A150" s="181" t="s">
        <v>1</v>
      </c>
      <c r="B150" s="181" t="s">
        <v>129</v>
      </c>
      <c r="C150" s="182"/>
      <c r="D150" s="182"/>
      <c r="E150" s="278" t="s">
        <v>147</v>
      </c>
      <c r="F150" s="278"/>
      <c r="G150" s="278"/>
      <c r="H150" s="183" t="s">
        <v>71</v>
      </c>
      <c r="I150" s="24" t="s">
        <v>90</v>
      </c>
      <c r="M150" s="138" t="s">
        <v>404</v>
      </c>
      <c r="N150" s="140" t="str">
        <f>IF(AND(I147="Yes",I150&lt;&gt;"Yes"),"Required feature.","")</f>
        <v/>
      </c>
      <c r="O150" s="140"/>
      <c r="P150" s="140"/>
    </row>
    <row r="151" spans="1:16">
      <c r="A151" s="181" t="s">
        <v>1</v>
      </c>
      <c r="B151" s="181" t="s">
        <v>129</v>
      </c>
      <c r="C151" s="182"/>
      <c r="D151" s="182"/>
      <c r="E151" s="279" t="s">
        <v>53</v>
      </c>
      <c r="F151" s="279"/>
      <c r="G151" s="279"/>
      <c r="H151" s="183" t="s">
        <v>71</v>
      </c>
      <c r="I151" s="24" t="s">
        <v>90</v>
      </c>
      <c r="M151" s="138" t="s">
        <v>365</v>
      </c>
      <c r="N151" s="140" t="str">
        <f>IF(AND(I147="Yes",I151&lt;&gt;"Yes"),"Required feature.","")</f>
        <v/>
      </c>
      <c r="O151" s="140"/>
      <c r="P151" s="140"/>
    </row>
    <row r="152" spans="1:16" s="184" customFormat="1">
      <c r="A152" s="181" t="s">
        <v>1</v>
      </c>
      <c r="B152" s="181" t="s">
        <v>129</v>
      </c>
      <c r="C152" s="182"/>
      <c r="D152" s="182"/>
      <c r="E152" s="188" t="s">
        <v>2007</v>
      </c>
      <c r="F152" s="191"/>
      <c r="G152" s="192"/>
      <c r="H152" s="183" t="s">
        <v>94</v>
      </c>
      <c r="I152" s="24" t="s">
        <v>90</v>
      </c>
      <c r="M152" s="138" t="s">
        <v>1744</v>
      </c>
      <c r="N152" s="140" t="str">
        <f>IF(AND(I$147="Yes",I$152&lt;&gt;"Yes",I$155&lt;&gt;"Yes"),"Must support one of these.","")</f>
        <v/>
      </c>
      <c r="O152" s="140" t="s">
        <v>2009</v>
      </c>
      <c r="P152" s="140" t="s">
        <v>1949</v>
      </c>
    </row>
    <row r="153" spans="1:16" s="184" customFormat="1">
      <c r="A153" s="181" t="s">
        <v>1</v>
      </c>
      <c r="B153" s="181" t="s">
        <v>129</v>
      </c>
      <c r="C153" s="182"/>
      <c r="D153" s="182"/>
      <c r="E153" s="188" t="s">
        <v>2061</v>
      </c>
      <c r="F153" s="191"/>
      <c r="G153" s="192"/>
      <c r="H153" s="183" t="s">
        <v>4</v>
      </c>
      <c r="I153" s="24" t="s">
        <v>90</v>
      </c>
      <c r="M153" s="138" t="s">
        <v>2063</v>
      </c>
      <c r="N153" s="140" t="str">
        <f>IF(AND(I$147="Yes",I$152&lt;&gt;"Yes",I$155&lt;&gt;"Yes"),"Must support one of these.","")</f>
        <v/>
      </c>
      <c r="O153" s="140" t="s">
        <v>2065</v>
      </c>
      <c r="P153" s="140" t="s">
        <v>1948</v>
      </c>
    </row>
    <row r="154" spans="1:16" s="184" customFormat="1">
      <c r="A154" s="181" t="s">
        <v>1</v>
      </c>
      <c r="B154" s="181" t="s">
        <v>129</v>
      </c>
      <c r="C154" s="182"/>
      <c r="D154" s="182"/>
      <c r="E154" s="188" t="s">
        <v>2062</v>
      </c>
      <c r="F154" s="191"/>
      <c r="G154" s="192"/>
      <c r="H154" s="183" t="s">
        <v>71</v>
      </c>
      <c r="I154" s="24" t="s">
        <v>90</v>
      </c>
      <c r="M154" s="138" t="s">
        <v>2064</v>
      </c>
      <c r="N154" s="140" t="str">
        <f>IF(AND(I$147="Yes",I$152&lt;&gt;"Yes",I$155&lt;&gt;"Yes"),"Must support one of these.","")</f>
        <v/>
      </c>
      <c r="O154" s="140" t="s">
        <v>2065</v>
      </c>
      <c r="P154" s="140" t="s">
        <v>1948</v>
      </c>
    </row>
    <row r="155" spans="1:16" s="184" customFormat="1">
      <c r="A155" s="181" t="s">
        <v>1</v>
      </c>
      <c r="B155" s="181" t="s">
        <v>129</v>
      </c>
      <c r="C155" s="182"/>
      <c r="D155" s="182"/>
      <c r="E155" s="188" t="s">
        <v>2008</v>
      </c>
      <c r="F155" s="191"/>
      <c r="G155" s="192"/>
      <c r="H155" s="183" t="s">
        <v>94</v>
      </c>
      <c r="I155" s="24" t="s">
        <v>90</v>
      </c>
      <c r="M155" s="138" t="s">
        <v>2010</v>
      </c>
      <c r="N155" s="140" t="str">
        <f>IF(AND(I$147="Yes",I$152&lt;&gt;"Yes",I$155&lt;&gt;"Yes"),"Must support one of these.","")</f>
        <v/>
      </c>
      <c r="O155" s="140" t="s">
        <v>2009</v>
      </c>
      <c r="P155" s="140" t="s">
        <v>1949</v>
      </c>
    </row>
    <row r="156" spans="1:16">
      <c r="A156" s="181" t="s">
        <v>1</v>
      </c>
      <c r="B156" s="181" t="s">
        <v>129</v>
      </c>
      <c r="C156" s="182"/>
      <c r="D156" s="279" t="s">
        <v>54</v>
      </c>
      <c r="E156" s="279"/>
      <c r="F156" s="279"/>
      <c r="G156" s="279"/>
      <c r="H156" s="183" t="s">
        <v>4</v>
      </c>
      <c r="I156" s="24" t="s">
        <v>90</v>
      </c>
      <c r="M156" s="138" t="s">
        <v>366</v>
      </c>
      <c r="N156" s="140"/>
      <c r="O156" s="140"/>
      <c r="P156" s="140"/>
    </row>
    <row r="157" spans="1:16">
      <c r="A157" s="181" t="s">
        <v>1</v>
      </c>
      <c r="B157" s="181" t="s">
        <v>129</v>
      </c>
      <c r="C157" s="182"/>
      <c r="D157" s="279" t="s">
        <v>55</v>
      </c>
      <c r="E157" s="279"/>
      <c r="F157" s="279"/>
      <c r="G157" s="279"/>
      <c r="H157" s="183" t="s">
        <v>4</v>
      </c>
      <c r="I157" s="24" t="s">
        <v>90</v>
      </c>
      <c r="M157" s="138" t="s">
        <v>367</v>
      </c>
      <c r="N157" s="140"/>
      <c r="O157" s="140"/>
      <c r="P157" s="140"/>
    </row>
    <row r="158" spans="1:16">
      <c r="A158" s="181" t="s">
        <v>1</v>
      </c>
      <c r="B158" s="181" t="s">
        <v>6</v>
      </c>
      <c r="C158" s="279" t="s">
        <v>154</v>
      </c>
      <c r="D158" s="279"/>
      <c r="E158" s="279"/>
      <c r="F158" s="279"/>
      <c r="G158" s="279"/>
      <c r="H158" s="183" t="s">
        <v>3</v>
      </c>
      <c r="I158" s="24" t="s">
        <v>90</v>
      </c>
      <c r="M158" s="138" t="s">
        <v>589</v>
      </c>
      <c r="N158" s="140" t="str">
        <f>IF(I158&lt;&gt;"Yes","Required feature.","")</f>
        <v>Required feature.</v>
      </c>
      <c r="O158" s="140"/>
      <c r="P158" s="140"/>
    </row>
    <row r="159" spans="1:16">
      <c r="A159" s="181" t="s">
        <v>1</v>
      </c>
      <c r="B159" s="181" t="s">
        <v>6</v>
      </c>
      <c r="C159" s="182"/>
      <c r="D159" s="279" t="s">
        <v>56</v>
      </c>
      <c r="E159" s="279"/>
      <c r="F159" s="279"/>
      <c r="G159" s="279"/>
      <c r="H159" s="183" t="s">
        <v>3</v>
      </c>
      <c r="I159" s="24" t="s">
        <v>90</v>
      </c>
      <c r="M159" s="138" t="s">
        <v>590</v>
      </c>
      <c r="N159" s="140" t="str">
        <f>IF(I159&lt;&gt;"Yes","Required feature.","")</f>
        <v>Required feature.</v>
      </c>
      <c r="O159" s="140"/>
      <c r="P159" s="140"/>
    </row>
    <row r="160" spans="1:16">
      <c r="A160" s="181" t="s">
        <v>1</v>
      </c>
      <c r="B160" s="181" t="s">
        <v>6</v>
      </c>
      <c r="C160" s="182"/>
      <c r="D160" s="182"/>
      <c r="E160" s="279" t="s">
        <v>151</v>
      </c>
      <c r="F160" s="279"/>
      <c r="G160" s="279"/>
      <c r="H160" s="183" t="s">
        <v>4</v>
      </c>
      <c r="I160" s="24" t="s">
        <v>90</v>
      </c>
      <c r="M160" s="138" t="s">
        <v>411</v>
      </c>
      <c r="N160" s="140"/>
      <c r="O160" s="140"/>
      <c r="P160" s="140"/>
    </row>
    <row r="161" spans="1:16">
      <c r="A161" s="181" t="s">
        <v>1</v>
      </c>
      <c r="B161" s="181" t="s">
        <v>6</v>
      </c>
      <c r="C161" s="182"/>
      <c r="D161" s="182"/>
      <c r="E161" s="182"/>
      <c r="F161" s="278" t="s">
        <v>57</v>
      </c>
      <c r="G161" s="278"/>
      <c r="H161" s="183" t="s">
        <v>4</v>
      </c>
      <c r="I161" s="24" t="s">
        <v>90</v>
      </c>
      <c r="M161" s="138" t="s">
        <v>412</v>
      </c>
      <c r="N161" s="140"/>
      <c r="O161" s="140"/>
      <c r="P161" s="140"/>
    </row>
    <row r="162" spans="1:16">
      <c r="A162" s="181" t="s">
        <v>1</v>
      </c>
      <c r="B162" s="181" t="s">
        <v>6</v>
      </c>
      <c r="C162" s="182"/>
      <c r="D162" s="182"/>
      <c r="E162" s="182"/>
      <c r="F162" s="278" t="s">
        <v>58</v>
      </c>
      <c r="G162" s="278"/>
      <c r="H162" s="183" t="s">
        <v>4</v>
      </c>
      <c r="I162" s="24" t="s">
        <v>90</v>
      </c>
      <c r="M162" s="138" t="s">
        <v>413</v>
      </c>
      <c r="N162" s="140"/>
      <c r="O162" s="140"/>
      <c r="P162" s="140"/>
    </row>
    <row r="163" spans="1:16">
      <c r="A163" s="181" t="s">
        <v>1</v>
      </c>
      <c r="B163" s="181" t="s">
        <v>6</v>
      </c>
      <c r="C163" s="182"/>
      <c r="D163" s="182"/>
      <c r="E163" s="279" t="s">
        <v>152</v>
      </c>
      <c r="F163" s="279"/>
      <c r="G163" s="279"/>
      <c r="H163" s="183" t="s">
        <v>3</v>
      </c>
      <c r="I163" s="24" t="s">
        <v>90</v>
      </c>
      <c r="M163" s="138" t="s">
        <v>591</v>
      </c>
      <c r="N163" s="140" t="str">
        <f>IF(I163&lt;&gt;"Yes","Required feature.","")</f>
        <v>Required feature.</v>
      </c>
      <c r="O163" s="140"/>
      <c r="P163" s="140"/>
    </row>
    <row r="164" spans="1:16">
      <c r="A164" s="181" t="s">
        <v>1</v>
      </c>
      <c r="B164" s="181" t="s">
        <v>6</v>
      </c>
      <c r="C164" s="182"/>
      <c r="D164" s="182"/>
      <c r="E164" s="182"/>
      <c r="F164" s="278" t="s">
        <v>59</v>
      </c>
      <c r="G164" s="278"/>
      <c r="H164" s="183" t="s">
        <v>3</v>
      </c>
      <c r="I164" s="24" t="s">
        <v>90</v>
      </c>
      <c r="M164" s="138" t="s">
        <v>592</v>
      </c>
      <c r="N164" s="140" t="str">
        <f>IF(I164&lt;&gt;"Yes","Required feature.","")</f>
        <v>Required feature.</v>
      </c>
      <c r="O164" s="140"/>
      <c r="P164" s="140"/>
    </row>
    <row r="165" spans="1:16" s="250" customFormat="1">
      <c r="A165" s="181" t="s">
        <v>1</v>
      </c>
      <c r="B165" s="181" t="s">
        <v>6</v>
      </c>
      <c r="C165" s="182"/>
      <c r="D165" s="182"/>
      <c r="E165" s="188"/>
      <c r="F165" s="191"/>
      <c r="G165" s="188" t="s">
        <v>2047</v>
      </c>
      <c r="H165" s="183" t="s">
        <v>4</v>
      </c>
      <c r="I165" s="24" t="s">
        <v>90</v>
      </c>
      <c r="J165" s="184"/>
      <c r="K165" s="184"/>
      <c r="L165" s="184"/>
      <c r="M165" s="138" t="s">
        <v>1954</v>
      </c>
      <c r="N165" s="140"/>
      <c r="O165" s="140"/>
      <c r="P165" s="140" t="s">
        <v>1948</v>
      </c>
    </row>
    <row r="166" spans="1:16">
      <c r="A166" s="181" t="s">
        <v>1</v>
      </c>
      <c r="B166" s="181" t="s">
        <v>6</v>
      </c>
      <c r="C166" s="182"/>
      <c r="D166" s="182"/>
      <c r="E166" s="182"/>
      <c r="F166" s="278" t="s">
        <v>60</v>
      </c>
      <c r="G166" s="278"/>
      <c r="H166" s="183" t="s">
        <v>3</v>
      </c>
      <c r="I166" s="24" t="s">
        <v>90</v>
      </c>
      <c r="M166" s="138" t="s">
        <v>593</v>
      </c>
      <c r="N166" s="140" t="str">
        <f>IF(I166&lt;&gt;"Yes","Required feature.","")</f>
        <v>Required feature.</v>
      </c>
      <c r="O166" s="140"/>
      <c r="P166" s="140"/>
    </row>
    <row r="167" spans="1:16">
      <c r="A167" s="181" t="s">
        <v>1</v>
      </c>
      <c r="B167" s="181" t="s">
        <v>6</v>
      </c>
      <c r="C167" s="182"/>
      <c r="D167" s="182"/>
      <c r="E167" s="182"/>
      <c r="F167" s="278" t="s">
        <v>61</v>
      </c>
      <c r="G167" s="278"/>
      <c r="H167" s="183" t="s">
        <v>4</v>
      </c>
      <c r="I167" s="24" t="s">
        <v>90</v>
      </c>
      <c r="M167" s="138" t="s">
        <v>405</v>
      </c>
      <c r="N167" s="140"/>
      <c r="O167" s="140"/>
      <c r="P167" s="140"/>
    </row>
    <row r="168" spans="1:16">
      <c r="A168" s="181" t="s">
        <v>1</v>
      </c>
      <c r="B168" s="181" t="s">
        <v>6</v>
      </c>
      <c r="C168" s="182"/>
      <c r="D168" s="182"/>
      <c r="E168" s="182"/>
      <c r="F168" s="278" t="s">
        <v>62</v>
      </c>
      <c r="G168" s="278"/>
      <c r="H168" s="183" t="s">
        <v>4</v>
      </c>
      <c r="I168" s="24" t="s">
        <v>90</v>
      </c>
      <c r="M168" s="138" t="s">
        <v>406</v>
      </c>
      <c r="N168" s="140"/>
      <c r="O168" s="140"/>
      <c r="P168" s="140"/>
    </row>
    <row r="169" spans="1:16">
      <c r="A169" s="181" t="s">
        <v>1</v>
      </c>
      <c r="B169" s="181" t="s">
        <v>6</v>
      </c>
      <c r="C169" s="182"/>
      <c r="D169" s="182"/>
      <c r="E169" s="182"/>
      <c r="F169" s="278" t="s">
        <v>148</v>
      </c>
      <c r="G169" s="278"/>
      <c r="H169" s="183" t="s">
        <v>4</v>
      </c>
      <c r="I169" s="24" t="s">
        <v>90</v>
      </c>
      <c r="M169" s="138" t="s">
        <v>407</v>
      </c>
      <c r="N169" s="140"/>
      <c r="O169" s="140"/>
      <c r="P169" s="140"/>
    </row>
    <row r="170" spans="1:16">
      <c r="A170" s="181" t="s">
        <v>1</v>
      </c>
      <c r="B170" s="181" t="s">
        <v>6</v>
      </c>
      <c r="C170" s="182"/>
      <c r="D170" s="182"/>
      <c r="E170" s="182"/>
      <c r="F170" s="278" t="s">
        <v>149</v>
      </c>
      <c r="G170" s="278"/>
      <c r="H170" s="183" t="s">
        <v>4</v>
      </c>
      <c r="I170" s="24" t="s">
        <v>90</v>
      </c>
      <c r="M170" s="138" t="s">
        <v>408</v>
      </c>
      <c r="N170" s="140"/>
      <c r="O170" s="140"/>
      <c r="P170" s="140"/>
    </row>
    <row r="171" spans="1:16">
      <c r="A171" s="181" t="s">
        <v>1</v>
      </c>
      <c r="B171" s="181" t="s">
        <v>6</v>
      </c>
      <c r="C171" s="182"/>
      <c r="D171" s="182"/>
      <c r="E171" s="182"/>
      <c r="F171" s="278" t="s">
        <v>150</v>
      </c>
      <c r="G171" s="278"/>
      <c r="H171" s="183" t="s">
        <v>4</v>
      </c>
      <c r="I171" s="24" t="s">
        <v>90</v>
      </c>
      <c r="M171" s="138" t="s">
        <v>409</v>
      </c>
      <c r="N171" s="140"/>
      <c r="O171" s="140"/>
      <c r="P171" s="140"/>
    </row>
    <row r="172" spans="1:16" s="250" customFormat="1">
      <c r="A172" s="181" t="s">
        <v>1</v>
      </c>
      <c r="B172" s="181" t="s">
        <v>6</v>
      </c>
      <c r="C172" s="182"/>
      <c r="D172" s="182"/>
      <c r="E172" s="188"/>
      <c r="F172" s="191"/>
      <c r="G172" s="188" t="s">
        <v>2047</v>
      </c>
      <c r="H172" s="183" t="s">
        <v>4</v>
      </c>
      <c r="I172" s="24" t="s">
        <v>90</v>
      </c>
      <c r="J172" s="184"/>
      <c r="K172" s="184"/>
      <c r="L172" s="184"/>
      <c r="M172" s="138" t="s">
        <v>1955</v>
      </c>
      <c r="N172" s="140"/>
      <c r="O172" s="140"/>
      <c r="P172" s="140" t="s">
        <v>1948</v>
      </c>
    </row>
    <row r="173" spans="1:16">
      <c r="A173" s="181" t="s">
        <v>1</v>
      </c>
      <c r="B173" s="181" t="s">
        <v>6</v>
      </c>
      <c r="C173" s="182"/>
      <c r="D173" s="279" t="s">
        <v>63</v>
      </c>
      <c r="E173" s="279"/>
      <c r="F173" s="279"/>
      <c r="G173" s="279"/>
      <c r="H173" s="183" t="s">
        <v>4</v>
      </c>
      <c r="I173" s="24" t="s">
        <v>90</v>
      </c>
      <c r="M173" s="138" t="s">
        <v>410</v>
      </c>
      <c r="N173" s="140"/>
      <c r="O173" s="140"/>
      <c r="P173" s="140"/>
    </row>
    <row r="174" spans="1:16">
      <c r="A174" s="181" t="s">
        <v>1</v>
      </c>
      <c r="B174" s="181" t="s">
        <v>6</v>
      </c>
      <c r="C174" s="182"/>
      <c r="D174" s="182"/>
      <c r="E174" s="279" t="s">
        <v>151</v>
      </c>
      <c r="F174" s="279"/>
      <c r="G174" s="279"/>
      <c r="H174" s="183" t="s">
        <v>4</v>
      </c>
      <c r="I174" s="24" t="s">
        <v>90</v>
      </c>
      <c r="M174" s="138" t="s">
        <v>414</v>
      </c>
      <c r="N174" s="140"/>
      <c r="O174" s="140"/>
      <c r="P174" s="140"/>
    </row>
    <row r="175" spans="1:16">
      <c r="A175" s="181" t="s">
        <v>1</v>
      </c>
      <c r="B175" s="181" t="s">
        <v>6</v>
      </c>
      <c r="C175" s="182"/>
      <c r="D175" s="182"/>
      <c r="E175" s="182"/>
      <c r="F175" s="278" t="s">
        <v>64</v>
      </c>
      <c r="G175" s="278"/>
      <c r="H175" s="183" t="s">
        <v>4</v>
      </c>
      <c r="I175" s="24" t="s">
        <v>90</v>
      </c>
      <c r="M175" s="138" t="s">
        <v>415</v>
      </c>
      <c r="N175" s="140"/>
      <c r="O175" s="140"/>
      <c r="P175" s="140"/>
    </row>
    <row r="176" spans="1:16">
      <c r="A176" s="181" t="s">
        <v>1</v>
      </c>
      <c r="B176" s="181" t="s">
        <v>6</v>
      </c>
      <c r="C176" s="182"/>
      <c r="D176" s="182"/>
      <c r="E176" s="279" t="s">
        <v>152</v>
      </c>
      <c r="F176" s="279"/>
      <c r="G176" s="279"/>
      <c r="H176" s="183" t="s">
        <v>4</v>
      </c>
      <c r="I176" s="24" t="s">
        <v>90</v>
      </c>
      <c r="M176" s="138" t="s">
        <v>419</v>
      </c>
      <c r="N176" s="140"/>
      <c r="O176" s="140"/>
      <c r="P176" s="140"/>
    </row>
    <row r="177" spans="1:16">
      <c r="A177" s="181" t="s">
        <v>1</v>
      </c>
      <c r="B177" s="181" t="s">
        <v>6</v>
      </c>
      <c r="C177" s="182"/>
      <c r="D177" s="182"/>
      <c r="E177" s="182"/>
      <c r="F177" s="278" t="s">
        <v>65</v>
      </c>
      <c r="G177" s="278"/>
      <c r="H177" s="183" t="s">
        <v>4</v>
      </c>
      <c r="I177" s="24" t="s">
        <v>90</v>
      </c>
      <c r="M177" s="138" t="s">
        <v>416</v>
      </c>
      <c r="N177" s="140"/>
      <c r="O177" s="140"/>
      <c r="P177" s="140"/>
    </row>
    <row r="178" spans="1:16">
      <c r="A178" s="181" t="s">
        <v>1</v>
      </c>
      <c r="B178" s="181" t="s">
        <v>6</v>
      </c>
      <c r="C178" s="182"/>
      <c r="D178" s="182"/>
      <c r="E178" s="182"/>
      <c r="F178" s="278" t="s">
        <v>66</v>
      </c>
      <c r="G178" s="278"/>
      <c r="H178" s="183" t="s">
        <v>4</v>
      </c>
      <c r="I178" s="24" t="s">
        <v>90</v>
      </c>
      <c r="M178" s="138" t="s">
        <v>417</v>
      </c>
      <c r="N178" s="140"/>
      <c r="O178" s="140"/>
      <c r="P178" s="140"/>
    </row>
    <row r="179" spans="1:16">
      <c r="A179" s="181" t="s">
        <v>1</v>
      </c>
      <c r="B179" s="181" t="s">
        <v>6</v>
      </c>
      <c r="C179" s="182"/>
      <c r="D179" s="182"/>
      <c r="E179" s="182"/>
      <c r="F179" s="278" t="s">
        <v>67</v>
      </c>
      <c r="G179" s="278"/>
      <c r="H179" s="183" t="s">
        <v>4</v>
      </c>
      <c r="I179" s="24" t="s">
        <v>90</v>
      </c>
      <c r="M179" s="138" t="s">
        <v>418</v>
      </c>
      <c r="N179" s="140"/>
      <c r="O179" s="140"/>
      <c r="P179" s="140"/>
    </row>
    <row r="180" spans="1:16">
      <c r="A180" s="181" t="s">
        <v>1</v>
      </c>
      <c r="B180" s="181" t="s">
        <v>6</v>
      </c>
      <c r="C180" s="182"/>
      <c r="D180" s="280" t="s">
        <v>155</v>
      </c>
      <c r="E180" s="281"/>
      <c r="F180" s="281"/>
      <c r="G180" s="282"/>
      <c r="H180" s="183" t="s">
        <v>4</v>
      </c>
      <c r="I180" s="24" t="s">
        <v>90</v>
      </c>
      <c r="M180" s="138" t="s">
        <v>368</v>
      </c>
      <c r="N180" s="140"/>
      <c r="O180" s="140"/>
      <c r="P180" s="140"/>
    </row>
    <row r="181" spans="1:16">
      <c r="A181" s="181" t="s">
        <v>1</v>
      </c>
      <c r="B181" s="181" t="s">
        <v>6</v>
      </c>
      <c r="C181" s="182"/>
      <c r="D181" s="182"/>
      <c r="E181" s="280" t="s">
        <v>151</v>
      </c>
      <c r="F181" s="281"/>
      <c r="G181" s="282"/>
      <c r="H181" s="183" t="s">
        <v>71</v>
      </c>
      <c r="I181" s="24" t="s">
        <v>90</v>
      </c>
      <c r="M181" s="138" t="s">
        <v>369</v>
      </c>
      <c r="N181" s="140" t="str">
        <f>IF(AND(I$180="Yes",I181&lt;&gt;"Yes"),"Required feature.","")</f>
        <v/>
      </c>
      <c r="O181" s="140"/>
      <c r="P181" s="140"/>
    </row>
    <row r="182" spans="1:16">
      <c r="A182" s="181" t="s">
        <v>1</v>
      </c>
      <c r="B182" s="181" t="s">
        <v>6</v>
      </c>
      <c r="C182" s="182"/>
      <c r="D182" s="182"/>
      <c r="E182" s="182"/>
      <c r="F182" s="285" t="s">
        <v>2030</v>
      </c>
      <c r="G182" s="286"/>
      <c r="H182" s="183" t="s">
        <v>71</v>
      </c>
      <c r="I182" s="24" t="s">
        <v>90</v>
      </c>
      <c r="M182" s="138" t="s">
        <v>370</v>
      </c>
      <c r="N182" s="140" t="str">
        <f>IF(AND(I$180="Yes",I182&lt;&gt;"Yes"),"Required feature.","")</f>
        <v/>
      </c>
      <c r="O182" s="140"/>
      <c r="P182" s="140"/>
    </row>
    <row r="183" spans="1:16">
      <c r="A183" s="181" t="s">
        <v>1</v>
      </c>
      <c r="B183" s="181" t="s">
        <v>6</v>
      </c>
      <c r="C183" s="182"/>
      <c r="D183" s="182"/>
      <c r="E183" s="280" t="s">
        <v>152</v>
      </c>
      <c r="F183" s="281"/>
      <c r="G183" s="282"/>
      <c r="H183" s="183" t="s">
        <v>71</v>
      </c>
      <c r="I183" s="24" t="s">
        <v>90</v>
      </c>
      <c r="M183" s="138" t="s">
        <v>371</v>
      </c>
      <c r="N183" s="140" t="str">
        <f>IF(AND(I$180="Yes",I183&lt;&gt;"Yes"),"Required feature.","")</f>
        <v/>
      </c>
      <c r="O183" s="140"/>
      <c r="P183" s="140"/>
    </row>
    <row r="184" spans="1:16">
      <c r="A184" s="181" t="s">
        <v>1</v>
      </c>
      <c r="B184" s="181" t="s">
        <v>6</v>
      </c>
      <c r="C184" s="182"/>
      <c r="D184" s="182"/>
      <c r="E184" s="182"/>
      <c r="F184" s="285" t="s">
        <v>157</v>
      </c>
      <c r="G184" s="286"/>
      <c r="H184" s="183" t="s">
        <v>4</v>
      </c>
      <c r="I184" s="24" t="s">
        <v>90</v>
      </c>
      <c r="M184" s="138" t="s">
        <v>372</v>
      </c>
      <c r="N184" s="140" t="str">
        <f>IF(AND(I$180="Yes",I184&lt;&gt;"Yes"),"Required feature.","")</f>
        <v/>
      </c>
      <c r="O184" s="140"/>
      <c r="P184" s="140"/>
    </row>
    <row r="185" spans="1:16">
      <c r="A185" s="181" t="s">
        <v>1</v>
      </c>
      <c r="B185" s="181" t="s">
        <v>6</v>
      </c>
      <c r="C185" s="182"/>
      <c r="D185" s="182"/>
      <c r="E185" s="182"/>
      <c r="F185" s="187"/>
      <c r="G185" s="186" t="s">
        <v>710</v>
      </c>
      <c r="H185" s="183" t="s">
        <v>71</v>
      </c>
      <c r="I185" s="24" t="s">
        <v>90</v>
      </c>
      <c r="M185" s="138" t="s">
        <v>420</v>
      </c>
      <c r="N185" s="140" t="str">
        <f>IF(AND(I$180="Yes",I185&lt;&gt;"Yes"),"Required feature.","")</f>
        <v/>
      </c>
      <c r="O185" s="140"/>
      <c r="P185" s="140"/>
    </row>
    <row r="186" spans="1:16">
      <c r="A186" s="181" t="s">
        <v>1</v>
      </c>
      <c r="B186" s="181" t="s">
        <v>6</v>
      </c>
      <c r="C186" s="182"/>
      <c r="D186" s="182"/>
      <c r="E186" s="182"/>
      <c r="F186" s="187"/>
      <c r="G186" s="186" t="s">
        <v>159</v>
      </c>
      <c r="H186" s="183" t="s">
        <v>4</v>
      </c>
      <c r="I186" s="24" t="s">
        <v>90</v>
      </c>
      <c r="M186" s="138" t="s">
        <v>373</v>
      </c>
      <c r="N186" s="140"/>
      <c r="O186" s="140"/>
      <c r="P186" s="140"/>
    </row>
    <row r="187" spans="1:16" s="250" customFormat="1">
      <c r="A187" s="181" t="s">
        <v>1</v>
      </c>
      <c r="B187" s="181" t="s">
        <v>6</v>
      </c>
      <c r="C187" s="182"/>
      <c r="D187" s="182"/>
      <c r="E187" s="188"/>
      <c r="F187" s="191"/>
      <c r="G187" s="188" t="s">
        <v>2047</v>
      </c>
      <c r="H187" s="183" t="s">
        <v>4</v>
      </c>
      <c r="I187" s="24" t="s">
        <v>90</v>
      </c>
      <c r="J187" s="184"/>
      <c r="K187" s="184"/>
      <c r="L187" s="184"/>
      <c r="M187" s="138" t="s">
        <v>1957</v>
      </c>
      <c r="N187" s="140"/>
      <c r="O187" s="140"/>
      <c r="P187" s="140" t="s">
        <v>1948</v>
      </c>
    </row>
    <row r="188" spans="1:16">
      <c r="A188" s="181" t="s">
        <v>1</v>
      </c>
      <c r="B188" s="181" t="s">
        <v>6</v>
      </c>
      <c r="C188" s="182"/>
      <c r="D188" s="182"/>
      <c r="E188" s="182"/>
      <c r="F188" s="285" t="s">
        <v>2098</v>
      </c>
      <c r="G188" s="286"/>
      <c r="H188" s="183" t="s">
        <v>4</v>
      </c>
      <c r="I188" s="24" t="s">
        <v>90</v>
      </c>
      <c r="M188" s="138" t="s">
        <v>374</v>
      </c>
      <c r="N188" s="140"/>
      <c r="O188" s="140"/>
      <c r="P188" s="140" t="s">
        <v>2099</v>
      </c>
    </row>
    <row r="189" spans="1:16">
      <c r="A189" s="181" t="s">
        <v>1</v>
      </c>
      <c r="B189" s="181" t="s">
        <v>6</v>
      </c>
      <c r="C189" s="182"/>
      <c r="D189" s="182"/>
      <c r="E189" s="182"/>
      <c r="F189" s="285" t="s">
        <v>156</v>
      </c>
      <c r="G189" s="286"/>
      <c r="H189" s="183" t="s">
        <v>71</v>
      </c>
      <c r="I189" s="24" t="s">
        <v>90</v>
      </c>
      <c r="M189" s="138" t="s">
        <v>375</v>
      </c>
      <c r="N189" s="140" t="str">
        <f>IF(AND(I$180="Yes",I189&lt;&gt;"Yes"),"Required feature.","")</f>
        <v/>
      </c>
      <c r="O189" s="140"/>
      <c r="P189" s="140"/>
    </row>
    <row r="190" spans="1:16">
      <c r="A190" s="181" t="s">
        <v>1</v>
      </c>
      <c r="B190" s="181" t="s">
        <v>6</v>
      </c>
      <c r="C190" s="182"/>
      <c r="D190" s="182"/>
      <c r="E190" s="182"/>
      <c r="F190" s="285" t="s">
        <v>159</v>
      </c>
      <c r="G190" s="286"/>
      <c r="H190" s="183" t="s">
        <v>4</v>
      </c>
      <c r="I190" s="24" t="s">
        <v>90</v>
      </c>
      <c r="M190" s="138" t="s">
        <v>376</v>
      </c>
      <c r="N190" s="140"/>
      <c r="O190" s="140"/>
      <c r="P190" s="140"/>
    </row>
    <row r="191" spans="1:16">
      <c r="A191" s="181" t="s">
        <v>1</v>
      </c>
      <c r="B191" s="181" t="s">
        <v>6</v>
      </c>
      <c r="C191" s="182"/>
      <c r="D191" s="279" t="s">
        <v>153</v>
      </c>
      <c r="E191" s="279"/>
      <c r="F191" s="279"/>
      <c r="G191" s="279"/>
      <c r="H191" s="183" t="s">
        <v>3</v>
      </c>
      <c r="I191" s="24" t="s">
        <v>90</v>
      </c>
      <c r="M191" s="138" t="s">
        <v>1988</v>
      </c>
      <c r="N191" s="140" t="str">
        <f>IF(I191&lt;&gt;"Yes","Required feature.","")</f>
        <v>Required feature.</v>
      </c>
      <c r="O191" s="140"/>
      <c r="P191" s="140"/>
    </row>
    <row r="192" spans="1:16" s="184" customFormat="1">
      <c r="A192" s="181" t="s">
        <v>1</v>
      </c>
      <c r="B192" s="181" t="s">
        <v>6</v>
      </c>
      <c r="C192" s="182"/>
      <c r="D192" s="182"/>
      <c r="E192" s="280" t="s">
        <v>151</v>
      </c>
      <c r="F192" s="281"/>
      <c r="G192" s="282"/>
      <c r="H192" s="183" t="s">
        <v>4</v>
      </c>
      <c r="I192" s="24" t="s">
        <v>90</v>
      </c>
      <c r="M192" s="138" t="s">
        <v>1986</v>
      </c>
      <c r="N192" s="140"/>
      <c r="O192" s="140"/>
      <c r="P192" s="140" t="s">
        <v>1948</v>
      </c>
    </row>
    <row r="193" spans="1:16">
      <c r="A193" s="181" t="s">
        <v>1</v>
      </c>
      <c r="B193" s="181" t="s">
        <v>6</v>
      </c>
      <c r="C193" s="182"/>
      <c r="D193" s="182"/>
      <c r="E193" s="279" t="s">
        <v>163</v>
      </c>
      <c r="F193" s="279"/>
      <c r="G193" s="279"/>
      <c r="H193" s="183" t="s">
        <v>4</v>
      </c>
      <c r="I193" s="24" t="s">
        <v>90</v>
      </c>
      <c r="M193" s="138" t="s">
        <v>377</v>
      </c>
      <c r="N193" s="140"/>
      <c r="O193" s="140"/>
      <c r="P193" s="140"/>
    </row>
    <row r="194" spans="1:16">
      <c r="A194" s="181" t="s">
        <v>1</v>
      </c>
      <c r="B194" s="181" t="s">
        <v>6</v>
      </c>
      <c r="C194" s="182"/>
      <c r="D194" s="182"/>
      <c r="E194" s="279" t="s">
        <v>39</v>
      </c>
      <c r="F194" s="279"/>
      <c r="G194" s="279"/>
      <c r="H194" s="183" t="s">
        <v>4</v>
      </c>
      <c r="I194" s="24" t="s">
        <v>90</v>
      </c>
      <c r="M194" s="138" t="s">
        <v>378</v>
      </c>
      <c r="N194" s="140"/>
      <c r="O194" s="140"/>
      <c r="P194" s="140"/>
    </row>
    <row r="195" spans="1:16" s="250" customFormat="1">
      <c r="A195" s="181" t="s">
        <v>1</v>
      </c>
      <c r="B195" s="181" t="s">
        <v>7</v>
      </c>
      <c r="C195" s="182"/>
      <c r="D195" s="182"/>
      <c r="E195" s="188" t="s">
        <v>2047</v>
      </c>
      <c r="F195" s="191"/>
      <c r="G195" s="188"/>
      <c r="H195" s="183" t="s">
        <v>4</v>
      </c>
      <c r="I195" s="24" t="s">
        <v>90</v>
      </c>
      <c r="J195" s="184"/>
      <c r="K195" s="184"/>
      <c r="L195" s="184"/>
      <c r="M195" s="138" t="s">
        <v>1956</v>
      </c>
      <c r="N195" s="140"/>
      <c r="O195" s="140"/>
      <c r="P195" s="140" t="s">
        <v>1948</v>
      </c>
    </row>
    <row r="196" spans="1:16">
      <c r="A196" s="181" t="s">
        <v>1</v>
      </c>
      <c r="B196" s="181" t="s">
        <v>7</v>
      </c>
      <c r="C196" s="280" t="s">
        <v>8</v>
      </c>
      <c r="D196" s="281"/>
      <c r="E196" s="281"/>
      <c r="F196" s="281"/>
      <c r="G196" s="282"/>
      <c r="H196" s="183" t="s">
        <v>4</v>
      </c>
      <c r="I196" s="24" t="s">
        <v>90</v>
      </c>
      <c r="M196" s="138" t="s">
        <v>422</v>
      </c>
      <c r="N196" s="140"/>
      <c r="O196" s="140"/>
      <c r="P196" s="140"/>
    </row>
    <row r="197" spans="1:16">
      <c r="A197" s="181" t="s">
        <v>1</v>
      </c>
      <c r="B197" s="181" t="s">
        <v>7</v>
      </c>
      <c r="C197" s="182"/>
      <c r="D197" s="280" t="s">
        <v>68</v>
      </c>
      <c r="E197" s="281"/>
      <c r="F197" s="281"/>
      <c r="G197" s="282"/>
      <c r="H197" s="183" t="s">
        <v>71</v>
      </c>
      <c r="I197" s="24" t="s">
        <v>90</v>
      </c>
      <c r="M197" s="138" t="s">
        <v>421</v>
      </c>
      <c r="N197" s="140" t="str">
        <f>IF(AND(I$196="Yes",I197&lt;&gt;"Yes"),"Required feature.","")</f>
        <v/>
      </c>
      <c r="O197" s="140"/>
      <c r="P197" s="140"/>
    </row>
    <row r="198" spans="1:16">
      <c r="A198" s="181" t="s">
        <v>1</v>
      </c>
      <c r="B198" s="181" t="s">
        <v>7</v>
      </c>
      <c r="C198" s="182"/>
      <c r="D198" s="182"/>
      <c r="E198" s="280" t="s">
        <v>160</v>
      </c>
      <c r="F198" s="281"/>
      <c r="G198" s="282"/>
      <c r="H198" s="183" t="s">
        <v>4</v>
      </c>
      <c r="I198" s="24" t="s">
        <v>90</v>
      </c>
      <c r="M198" s="138" t="s">
        <v>379</v>
      </c>
      <c r="N198" s="140"/>
      <c r="O198" s="140"/>
      <c r="P198" s="140"/>
    </row>
    <row r="199" spans="1:16">
      <c r="A199" s="181" t="s">
        <v>1</v>
      </c>
      <c r="B199" s="181" t="s">
        <v>7</v>
      </c>
      <c r="C199" s="182"/>
      <c r="D199" s="182"/>
      <c r="E199" s="280" t="s">
        <v>161</v>
      </c>
      <c r="F199" s="281"/>
      <c r="G199" s="282"/>
      <c r="H199" s="183" t="s">
        <v>71</v>
      </c>
      <c r="I199" s="24" t="s">
        <v>90</v>
      </c>
      <c r="M199" s="138" t="s">
        <v>380</v>
      </c>
      <c r="N199" s="140"/>
      <c r="O199" s="140"/>
      <c r="P199" s="140" t="s">
        <v>2096</v>
      </c>
    </row>
    <row r="200" spans="1:16">
      <c r="A200" s="181" t="s">
        <v>1</v>
      </c>
      <c r="B200" s="181" t="s">
        <v>7</v>
      </c>
      <c r="C200" s="182"/>
      <c r="D200" s="182"/>
      <c r="E200" s="280" t="s">
        <v>52</v>
      </c>
      <c r="F200" s="281"/>
      <c r="G200" s="282"/>
      <c r="H200" s="183" t="s">
        <v>4</v>
      </c>
      <c r="I200" s="24" t="s">
        <v>90</v>
      </c>
      <c r="M200" s="138" t="s">
        <v>381</v>
      </c>
      <c r="N200" s="140"/>
      <c r="O200" s="140"/>
      <c r="P200" s="140"/>
    </row>
    <row r="201" spans="1:16">
      <c r="A201" s="181" t="s">
        <v>1</v>
      </c>
      <c r="B201" s="181" t="s">
        <v>7</v>
      </c>
      <c r="C201" s="182"/>
      <c r="D201" s="182"/>
      <c r="E201" s="280" t="s">
        <v>51</v>
      </c>
      <c r="F201" s="281"/>
      <c r="G201" s="282"/>
      <c r="H201" s="183" t="s">
        <v>4</v>
      </c>
      <c r="I201" s="24" t="s">
        <v>90</v>
      </c>
      <c r="M201" s="138" t="s">
        <v>382</v>
      </c>
      <c r="N201" s="140"/>
      <c r="O201" s="140"/>
      <c r="P201" s="140"/>
    </row>
    <row r="202" spans="1:16">
      <c r="A202" s="181" t="s">
        <v>1</v>
      </c>
      <c r="B202" s="181" t="s">
        <v>7</v>
      </c>
      <c r="C202" s="182"/>
      <c r="D202" s="182"/>
      <c r="E202" s="280" t="s">
        <v>162</v>
      </c>
      <c r="F202" s="281"/>
      <c r="G202" s="282"/>
      <c r="H202" s="183" t="s">
        <v>4</v>
      </c>
      <c r="I202" s="24" t="s">
        <v>90</v>
      </c>
      <c r="M202" s="138" t="s">
        <v>383</v>
      </c>
      <c r="N202" s="140"/>
      <c r="O202" s="140"/>
      <c r="P202" s="140"/>
    </row>
    <row r="203" spans="1:16" s="251" customFormat="1">
      <c r="A203" s="181" t="s">
        <v>1</v>
      </c>
      <c r="B203" s="181" t="s">
        <v>7</v>
      </c>
      <c r="C203" s="182"/>
      <c r="D203" s="182"/>
      <c r="E203" s="280" t="s">
        <v>203</v>
      </c>
      <c r="F203" s="281"/>
      <c r="G203" s="282"/>
      <c r="H203" s="183" t="s">
        <v>71</v>
      </c>
      <c r="I203" s="24" t="s">
        <v>90</v>
      </c>
      <c r="J203" s="143"/>
      <c r="K203" s="143"/>
      <c r="L203" s="143"/>
      <c r="M203" s="138" t="s">
        <v>423</v>
      </c>
      <c r="N203" s="140" t="str">
        <f>IF(AND(I$196="Yes",I203&lt;&gt;"Yes"),"Required feature.","")</f>
        <v/>
      </c>
      <c r="O203" s="140"/>
      <c r="P203" s="140"/>
    </row>
    <row r="204" spans="1:16" s="250" customFormat="1">
      <c r="A204" s="181" t="s">
        <v>1</v>
      </c>
      <c r="B204" s="181" t="s">
        <v>7</v>
      </c>
      <c r="C204" s="182"/>
      <c r="D204" s="182" t="s">
        <v>1961</v>
      </c>
      <c r="E204" s="188"/>
      <c r="F204" s="191"/>
      <c r="G204" s="192"/>
      <c r="H204" s="183" t="s">
        <v>71</v>
      </c>
      <c r="I204" s="24" t="s">
        <v>90</v>
      </c>
      <c r="J204" s="184"/>
      <c r="K204" s="184"/>
      <c r="L204" s="184"/>
      <c r="M204" s="138" t="s">
        <v>1960</v>
      </c>
      <c r="N204" s="140" t="str">
        <f>IF(AND(I$196="Yes",I204&lt;&gt;"Yes"),"Required feature.","")</f>
        <v/>
      </c>
      <c r="O204" s="140"/>
      <c r="P204" s="140" t="s">
        <v>2096</v>
      </c>
    </row>
    <row r="205" spans="1:16">
      <c r="A205" s="181" t="s">
        <v>1</v>
      </c>
      <c r="B205" s="181" t="s">
        <v>164</v>
      </c>
      <c r="C205" s="272" t="s">
        <v>505</v>
      </c>
      <c r="D205" s="277"/>
      <c r="E205" s="277"/>
      <c r="F205" s="277"/>
      <c r="G205" s="273"/>
      <c r="H205" s="183" t="s">
        <v>4</v>
      </c>
      <c r="I205" s="24" t="s">
        <v>90</v>
      </c>
      <c r="M205" s="138" t="s">
        <v>545</v>
      </c>
      <c r="N205" s="140"/>
      <c r="O205" s="140"/>
      <c r="P205" s="140"/>
    </row>
    <row r="206" spans="1:16">
      <c r="A206" s="181" t="s">
        <v>1</v>
      </c>
      <c r="B206" s="181" t="s">
        <v>164</v>
      </c>
      <c r="C206" s="193"/>
      <c r="D206" s="272" t="s">
        <v>165</v>
      </c>
      <c r="E206" s="277"/>
      <c r="F206" s="277"/>
      <c r="G206" s="273"/>
      <c r="H206" s="183" t="s">
        <v>94</v>
      </c>
      <c r="I206" s="24" t="s">
        <v>90</v>
      </c>
      <c r="M206" s="138" t="s">
        <v>432</v>
      </c>
      <c r="N206" s="140" t="str">
        <f>IF(AND(I$205="Yes",I$206&lt;&gt;"Yes",$I236&lt;&gt;"Yes"),"Required Feature","")</f>
        <v/>
      </c>
      <c r="O206" s="140"/>
      <c r="P206" s="140"/>
    </row>
    <row r="207" spans="1:16">
      <c r="A207" s="181" t="s">
        <v>1</v>
      </c>
      <c r="B207" s="181" t="s">
        <v>164</v>
      </c>
      <c r="C207" s="195"/>
      <c r="D207" s="195"/>
      <c r="E207" s="272" t="s">
        <v>167</v>
      </c>
      <c r="F207" s="277"/>
      <c r="G207" s="273"/>
      <c r="H207" s="183" t="s">
        <v>71</v>
      </c>
      <c r="I207" s="24" t="s">
        <v>90</v>
      </c>
      <c r="J207" s="196"/>
      <c r="K207" s="196"/>
      <c r="L207" s="196"/>
      <c r="M207" s="138" t="s">
        <v>433</v>
      </c>
      <c r="N207" s="140" t="str">
        <f>IF(AND(I$206="Yes",I207&lt;&gt;"Yes"),"Required feature.","")</f>
        <v/>
      </c>
      <c r="O207" s="140"/>
      <c r="P207" s="140"/>
    </row>
    <row r="208" spans="1:16">
      <c r="A208" s="181" t="s">
        <v>1</v>
      </c>
      <c r="B208" s="181" t="s">
        <v>164</v>
      </c>
      <c r="C208" s="195"/>
      <c r="D208" s="195"/>
      <c r="E208" s="272" t="s">
        <v>166</v>
      </c>
      <c r="F208" s="277"/>
      <c r="G208" s="273"/>
      <c r="H208" s="183" t="s">
        <v>71</v>
      </c>
      <c r="I208" s="24" t="s">
        <v>90</v>
      </c>
      <c r="M208" s="138" t="s">
        <v>434</v>
      </c>
      <c r="N208" s="140" t="str">
        <f t="shared" ref="N208:N215" si="2">IF(AND(I$206="Yes",I208&lt;&gt;"Yes"),"Required feature.","")</f>
        <v/>
      </c>
      <c r="O208" s="140"/>
      <c r="P208" s="140"/>
    </row>
    <row r="209" spans="1:16">
      <c r="A209" s="181" t="s">
        <v>1</v>
      </c>
      <c r="B209" s="181" t="s">
        <v>164</v>
      </c>
      <c r="C209" s="195"/>
      <c r="D209" s="195"/>
      <c r="E209" s="272" t="s">
        <v>168</v>
      </c>
      <c r="F209" s="277"/>
      <c r="G209" s="273"/>
      <c r="H209" s="183" t="s">
        <v>71</v>
      </c>
      <c r="I209" s="24" t="s">
        <v>90</v>
      </c>
      <c r="M209" s="138" t="s">
        <v>435</v>
      </c>
      <c r="N209" s="140" t="str">
        <f t="shared" si="2"/>
        <v/>
      </c>
      <c r="O209" s="140"/>
      <c r="P209" s="140"/>
    </row>
    <row r="210" spans="1:16">
      <c r="A210" s="181" t="s">
        <v>1</v>
      </c>
      <c r="B210" s="181" t="s">
        <v>164</v>
      </c>
      <c r="C210" s="195"/>
      <c r="D210" s="195"/>
      <c r="E210" s="272" t="s">
        <v>169</v>
      </c>
      <c r="F210" s="277"/>
      <c r="G210" s="273"/>
      <c r="H210" s="183" t="s">
        <v>71</v>
      </c>
      <c r="I210" s="24" t="s">
        <v>90</v>
      </c>
      <c r="M210" s="138" t="s">
        <v>436</v>
      </c>
      <c r="N210" s="140" t="str">
        <f t="shared" si="2"/>
        <v/>
      </c>
      <c r="O210" s="140"/>
      <c r="P210" s="140"/>
    </row>
    <row r="211" spans="1:16">
      <c r="A211" s="181" t="s">
        <v>1</v>
      </c>
      <c r="B211" s="181" t="s">
        <v>164</v>
      </c>
      <c r="C211" s="195"/>
      <c r="D211" s="195"/>
      <c r="E211" s="272" t="s">
        <v>170</v>
      </c>
      <c r="F211" s="277"/>
      <c r="G211" s="273"/>
      <c r="H211" s="183" t="s">
        <v>71</v>
      </c>
      <c r="I211" s="24" t="s">
        <v>90</v>
      </c>
      <c r="M211" s="138" t="s">
        <v>437</v>
      </c>
      <c r="N211" s="140" t="str">
        <f t="shared" si="2"/>
        <v/>
      </c>
      <c r="O211" s="140"/>
      <c r="P211" s="140"/>
    </row>
    <row r="212" spans="1:16">
      <c r="A212" s="181" t="s">
        <v>1</v>
      </c>
      <c r="B212" s="181" t="s">
        <v>164</v>
      </c>
      <c r="C212" s="195"/>
      <c r="D212" s="195"/>
      <c r="E212" s="272" t="s">
        <v>171</v>
      </c>
      <c r="F212" s="277"/>
      <c r="G212" s="273"/>
      <c r="H212" s="183" t="s">
        <v>71</v>
      </c>
      <c r="I212" s="24" t="s">
        <v>90</v>
      </c>
      <c r="M212" s="138" t="s">
        <v>438</v>
      </c>
      <c r="N212" s="140" t="str">
        <f t="shared" si="2"/>
        <v/>
      </c>
      <c r="O212" s="140"/>
      <c r="P212" s="140"/>
    </row>
    <row r="213" spans="1:16">
      <c r="A213" s="181" t="s">
        <v>1</v>
      </c>
      <c r="B213" s="181" t="s">
        <v>164</v>
      </c>
      <c r="C213" s="195"/>
      <c r="D213" s="195"/>
      <c r="E213" s="272" t="s">
        <v>172</v>
      </c>
      <c r="F213" s="277"/>
      <c r="G213" s="273"/>
      <c r="H213" s="183" t="s">
        <v>71</v>
      </c>
      <c r="I213" s="24" t="s">
        <v>90</v>
      </c>
      <c r="M213" s="138" t="s">
        <v>439</v>
      </c>
      <c r="N213" s="140" t="str">
        <f t="shared" si="2"/>
        <v/>
      </c>
      <c r="O213" s="140"/>
      <c r="P213" s="140"/>
    </row>
    <row r="214" spans="1:16">
      <c r="A214" s="181" t="s">
        <v>1</v>
      </c>
      <c r="B214" s="181" t="s">
        <v>164</v>
      </c>
      <c r="C214" s="195"/>
      <c r="D214" s="195"/>
      <c r="E214" s="272" t="s">
        <v>173</v>
      </c>
      <c r="F214" s="277"/>
      <c r="G214" s="273"/>
      <c r="H214" s="183" t="s">
        <v>71</v>
      </c>
      <c r="I214" s="24" t="s">
        <v>90</v>
      </c>
      <c r="M214" s="138" t="s">
        <v>440</v>
      </c>
      <c r="N214" s="140" t="str">
        <f t="shared" si="2"/>
        <v/>
      </c>
      <c r="O214" s="140"/>
      <c r="P214" s="140"/>
    </row>
    <row r="215" spans="1:16">
      <c r="A215" s="181" t="s">
        <v>1</v>
      </c>
      <c r="B215" s="181" t="s">
        <v>164</v>
      </c>
      <c r="C215" s="195"/>
      <c r="D215" s="195"/>
      <c r="E215" s="272" t="s">
        <v>174</v>
      </c>
      <c r="F215" s="277"/>
      <c r="G215" s="273"/>
      <c r="H215" s="183" t="s">
        <v>71</v>
      </c>
      <c r="I215" s="24" t="s">
        <v>90</v>
      </c>
      <c r="M215" s="138" t="s">
        <v>431</v>
      </c>
      <c r="N215" s="140" t="str">
        <f t="shared" si="2"/>
        <v/>
      </c>
      <c r="O215" s="140"/>
      <c r="P215" s="140"/>
    </row>
    <row r="216" spans="1:16">
      <c r="A216" s="181" t="s">
        <v>1</v>
      </c>
      <c r="B216" s="181" t="s">
        <v>176</v>
      </c>
      <c r="C216" s="193"/>
      <c r="D216" s="193"/>
      <c r="E216" s="272" t="s">
        <v>496</v>
      </c>
      <c r="F216" s="277"/>
      <c r="G216" s="273"/>
      <c r="H216" s="183" t="s">
        <v>4</v>
      </c>
      <c r="I216" s="24" t="s">
        <v>90</v>
      </c>
      <c r="M216" s="138" t="s">
        <v>594</v>
      </c>
      <c r="N216" s="140" t="str">
        <f>IF(AND(I216="Yes",I206&lt;&gt;"Yes"),"Must support CDB Source to support SBP Source.","")</f>
        <v/>
      </c>
      <c r="O216" s="140"/>
      <c r="P216" s="140"/>
    </row>
    <row r="217" spans="1:16">
      <c r="A217" s="181" t="s">
        <v>1</v>
      </c>
      <c r="B217" s="181" t="s">
        <v>176</v>
      </c>
      <c r="C217" s="195"/>
      <c r="D217" s="195"/>
      <c r="E217" s="195"/>
      <c r="F217" s="272" t="s">
        <v>177</v>
      </c>
      <c r="G217" s="273"/>
      <c r="H217" s="183" t="s">
        <v>71</v>
      </c>
      <c r="I217" s="24" t="s">
        <v>90</v>
      </c>
      <c r="M217" s="138" t="s">
        <v>595</v>
      </c>
      <c r="N217" s="140" t="str">
        <f>IF(AND(I$216="Yes",I217&lt;&gt;"Yes"),"Required feature.","")</f>
        <v/>
      </c>
      <c r="O217" s="140"/>
      <c r="P217" s="140"/>
    </row>
    <row r="218" spans="1:16">
      <c r="A218" s="181" t="s">
        <v>1</v>
      </c>
      <c r="B218" s="181" t="s">
        <v>176</v>
      </c>
      <c r="C218" s="195"/>
      <c r="D218" s="195"/>
      <c r="E218" s="195"/>
      <c r="F218" s="272" t="s">
        <v>178</v>
      </c>
      <c r="G218" s="273"/>
      <c r="H218" s="183" t="s">
        <v>71</v>
      </c>
      <c r="I218" s="24" t="s">
        <v>90</v>
      </c>
      <c r="M218" s="138" t="s">
        <v>596</v>
      </c>
      <c r="N218" s="140" t="str">
        <f t="shared" ref="N218:N225" si="3">IF(AND(I$216="Yes",I218&lt;&gt;"Yes"),"Required feature.","")</f>
        <v/>
      </c>
      <c r="O218" s="140"/>
      <c r="P218" s="140"/>
    </row>
    <row r="219" spans="1:16">
      <c r="A219" s="181" t="s">
        <v>1</v>
      </c>
      <c r="B219" s="181" t="s">
        <v>176</v>
      </c>
      <c r="C219" s="195"/>
      <c r="D219" s="195"/>
      <c r="E219" s="195"/>
      <c r="F219" s="272" t="s">
        <v>179</v>
      </c>
      <c r="G219" s="273"/>
      <c r="H219" s="183" t="s">
        <v>71</v>
      </c>
      <c r="I219" s="24" t="s">
        <v>90</v>
      </c>
      <c r="M219" s="138" t="s">
        <v>597</v>
      </c>
      <c r="N219" s="140" t="str">
        <f t="shared" si="3"/>
        <v/>
      </c>
      <c r="O219" s="140"/>
      <c r="P219" s="140"/>
    </row>
    <row r="220" spans="1:16">
      <c r="A220" s="181" t="s">
        <v>1</v>
      </c>
      <c r="B220" s="181" t="s">
        <v>176</v>
      </c>
      <c r="C220" s="195"/>
      <c r="D220" s="195"/>
      <c r="E220" s="195"/>
      <c r="F220" s="272" t="s">
        <v>180</v>
      </c>
      <c r="G220" s="273"/>
      <c r="H220" s="183" t="s">
        <v>71</v>
      </c>
      <c r="I220" s="24" t="s">
        <v>90</v>
      </c>
      <c r="M220" s="138" t="s">
        <v>598</v>
      </c>
      <c r="N220" s="140" t="str">
        <f t="shared" si="3"/>
        <v/>
      </c>
      <c r="O220" s="140"/>
      <c r="P220" s="140"/>
    </row>
    <row r="221" spans="1:16">
      <c r="A221" s="181" t="s">
        <v>1</v>
      </c>
      <c r="B221" s="181" t="s">
        <v>176</v>
      </c>
      <c r="C221" s="195"/>
      <c r="D221" s="195"/>
      <c r="E221" s="195"/>
      <c r="F221" s="272" t="s">
        <v>181</v>
      </c>
      <c r="G221" s="273"/>
      <c r="H221" s="183" t="s">
        <v>71</v>
      </c>
      <c r="I221" s="24" t="s">
        <v>90</v>
      </c>
      <c r="M221" s="138" t="s">
        <v>599</v>
      </c>
      <c r="N221" s="140" t="str">
        <f t="shared" si="3"/>
        <v/>
      </c>
      <c r="O221" s="140"/>
      <c r="P221" s="140"/>
    </row>
    <row r="222" spans="1:16">
      <c r="A222" s="181" t="s">
        <v>1</v>
      </c>
      <c r="B222" s="181" t="s">
        <v>176</v>
      </c>
      <c r="C222" s="195"/>
      <c r="D222" s="195"/>
      <c r="E222" s="195"/>
      <c r="F222" s="272" t="s">
        <v>182</v>
      </c>
      <c r="G222" s="273"/>
      <c r="H222" s="183" t="s">
        <v>71</v>
      </c>
      <c r="I222" s="24" t="s">
        <v>90</v>
      </c>
      <c r="M222" s="138" t="s">
        <v>600</v>
      </c>
      <c r="N222" s="140" t="str">
        <f t="shared" si="3"/>
        <v/>
      </c>
      <c r="O222" s="140"/>
      <c r="P222" s="140"/>
    </row>
    <row r="223" spans="1:16">
      <c r="A223" s="181" t="s">
        <v>1</v>
      </c>
      <c r="B223" s="181" t="s">
        <v>176</v>
      </c>
      <c r="C223" s="195"/>
      <c r="D223" s="195"/>
      <c r="E223" s="195"/>
      <c r="F223" s="272" t="s">
        <v>183</v>
      </c>
      <c r="G223" s="273"/>
      <c r="H223" s="183" t="s">
        <v>71</v>
      </c>
      <c r="I223" s="24" t="s">
        <v>90</v>
      </c>
      <c r="M223" s="138" t="s">
        <v>601</v>
      </c>
      <c r="N223" s="140" t="str">
        <f t="shared" si="3"/>
        <v/>
      </c>
      <c r="O223" s="140"/>
      <c r="P223" s="140"/>
    </row>
    <row r="224" spans="1:16">
      <c r="A224" s="181" t="s">
        <v>1</v>
      </c>
      <c r="B224" s="181" t="s">
        <v>176</v>
      </c>
      <c r="C224" s="195"/>
      <c r="D224" s="195"/>
      <c r="E224" s="195"/>
      <c r="F224" s="272" t="s">
        <v>184</v>
      </c>
      <c r="G224" s="273"/>
      <c r="H224" s="183" t="s">
        <v>71</v>
      </c>
      <c r="I224" s="24" t="s">
        <v>90</v>
      </c>
      <c r="M224" s="138" t="s">
        <v>602</v>
      </c>
      <c r="N224" s="140" t="str">
        <f t="shared" si="3"/>
        <v/>
      </c>
      <c r="O224" s="140"/>
      <c r="P224" s="140"/>
    </row>
    <row r="225" spans="1:16">
      <c r="A225" s="181" t="s">
        <v>1</v>
      </c>
      <c r="B225" s="181" t="s">
        <v>176</v>
      </c>
      <c r="C225" s="195"/>
      <c r="D225" s="195"/>
      <c r="E225" s="195"/>
      <c r="F225" s="272" t="s">
        <v>185</v>
      </c>
      <c r="G225" s="273"/>
      <c r="H225" s="183" t="s">
        <v>71</v>
      </c>
      <c r="I225" s="24" t="s">
        <v>90</v>
      </c>
      <c r="M225" s="138" t="s">
        <v>603</v>
      </c>
      <c r="N225" s="140" t="str">
        <f t="shared" si="3"/>
        <v/>
      </c>
      <c r="O225" s="140"/>
      <c r="P225" s="140"/>
    </row>
    <row r="226" spans="1:16">
      <c r="A226" s="181" t="s">
        <v>1</v>
      </c>
      <c r="B226" s="181" t="s">
        <v>176</v>
      </c>
      <c r="C226" s="193"/>
      <c r="D226" s="193"/>
      <c r="E226" s="272" t="s">
        <v>497</v>
      </c>
      <c r="F226" s="277"/>
      <c r="G226" s="273"/>
      <c r="H226" s="183" t="s">
        <v>4</v>
      </c>
      <c r="I226" s="24" t="s">
        <v>90</v>
      </c>
      <c r="M226" s="138" t="s">
        <v>604</v>
      </c>
      <c r="N226" s="140"/>
      <c r="O226" s="140"/>
      <c r="P226" s="140"/>
    </row>
    <row r="227" spans="1:16">
      <c r="A227" s="181" t="s">
        <v>1</v>
      </c>
      <c r="B227" s="181" t="s">
        <v>176</v>
      </c>
      <c r="C227" s="195"/>
      <c r="D227" s="195"/>
      <c r="E227" s="195"/>
      <c r="F227" s="272" t="s">
        <v>186</v>
      </c>
      <c r="G227" s="273"/>
      <c r="H227" s="183" t="s">
        <v>4</v>
      </c>
      <c r="I227" s="24" t="s">
        <v>90</v>
      </c>
      <c r="M227" s="138" t="s">
        <v>605</v>
      </c>
      <c r="N227" s="140" t="str">
        <f>IF(AND(I227="Yes",I216&lt;&gt;"Yes"),"Must support SBP Source to support GPS Source.","")</f>
        <v/>
      </c>
      <c r="O227" s="140"/>
      <c r="P227" s="140"/>
    </row>
    <row r="228" spans="1:16">
      <c r="A228" s="181" t="s">
        <v>1</v>
      </c>
      <c r="B228" s="181" t="s">
        <v>176</v>
      </c>
      <c r="C228" s="182"/>
      <c r="D228" s="182"/>
      <c r="E228" s="195"/>
      <c r="F228" s="193"/>
      <c r="G228" s="195" t="s">
        <v>177</v>
      </c>
      <c r="H228" s="183" t="s">
        <v>71</v>
      </c>
      <c r="I228" s="24" t="s">
        <v>90</v>
      </c>
      <c r="M228" s="138" t="s">
        <v>1373</v>
      </c>
      <c r="N228" s="140" t="str">
        <f>IF(AND(I$227="Yes",I228&lt;&gt;"Yes"),"Required feature.","")</f>
        <v/>
      </c>
      <c r="O228" s="140"/>
      <c r="P228" s="140"/>
    </row>
    <row r="229" spans="1:16">
      <c r="A229" s="181" t="s">
        <v>1</v>
      </c>
      <c r="B229" s="181" t="s">
        <v>176</v>
      </c>
      <c r="C229" s="182"/>
      <c r="D229" s="182"/>
      <c r="E229" s="195"/>
      <c r="F229" s="193"/>
      <c r="G229" s="195" t="s">
        <v>179</v>
      </c>
      <c r="H229" s="183" t="s">
        <v>71</v>
      </c>
      <c r="I229" s="24" t="s">
        <v>90</v>
      </c>
      <c r="M229" s="138" t="s">
        <v>1374</v>
      </c>
      <c r="N229" s="140" t="str">
        <f>IF(AND(I$227="Yes",I229&lt;&gt;"Yes"),"Required feature.","")</f>
        <v/>
      </c>
      <c r="O229" s="140"/>
      <c r="P229" s="140"/>
    </row>
    <row r="230" spans="1:16">
      <c r="A230" s="181" t="s">
        <v>1</v>
      </c>
      <c r="B230" s="181" t="s">
        <v>176</v>
      </c>
      <c r="C230" s="182"/>
      <c r="D230" s="182"/>
      <c r="E230" s="195"/>
      <c r="F230" s="193"/>
      <c r="G230" s="195" t="s">
        <v>180</v>
      </c>
      <c r="H230" s="183" t="s">
        <v>71</v>
      </c>
      <c r="I230" s="24" t="s">
        <v>90</v>
      </c>
      <c r="M230" s="138" t="s">
        <v>1375</v>
      </c>
      <c r="N230" s="140" t="str">
        <f>IF(AND(I$227="Yes",I230&lt;&gt;"Yes"),"Required feature.","")</f>
        <v/>
      </c>
      <c r="O230" s="140"/>
      <c r="P230" s="140"/>
    </row>
    <row r="231" spans="1:16">
      <c r="A231" s="181" t="s">
        <v>1</v>
      </c>
      <c r="B231" s="181" t="s">
        <v>176</v>
      </c>
      <c r="C231" s="195"/>
      <c r="D231" s="195"/>
      <c r="E231" s="195"/>
      <c r="F231" s="272" t="s">
        <v>187</v>
      </c>
      <c r="G231" s="273"/>
      <c r="H231" s="183" t="s">
        <v>4</v>
      </c>
      <c r="I231" s="24" t="s">
        <v>90</v>
      </c>
      <c r="M231" s="138" t="s">
        <v>606</v>
      </c>
      <c r="N231" s="140" t="str">
        <f>IF(AND(I231="Yes",I216&lt;&gt;"Yes"),"Must support SBP Source to support Location Source.","")</f>
        <v/>
      </c>
      <c r="O231" s="140"/>
      <c r="P231" s="140"/>
    </row>
    <row r="232" spans="1:16">
      <c r="A232" s="181" t="s">
        <v>1</v>
      </c>
      <c r="B232" s="181" t="s">
        <v>176</v>
      </c>
      <c r="C232" s="182"/>
      <c r="D232" s="182"/>
      <c r="E232" s="195"/>
      <c r="F232" s="193"/>
      <c r="G232" s="195" t="s">
        <v>177</v>
      </c>
      <c r="H232" s="183" t="s">
        <v>71</v>
      </c>
      <c r="I232" s="24" t="s">
        <v>90</v>
      </c>
      <c r="M232" s="138" t="s">
        <v>1372</v>
      </c>
      <c r="N232" s="140" t="str">
        <f>IF(AND(I$231="Yes",I232&lt;&gt;"Yes"),"Required feature.","")</f>
        <v/>
      </c>
      <c r="O232" s="140"/>
      <c r="P232" s="140"/>
    </row>
    <row r="233" spans="1:16">
      <c r="A233" s="181" t="s">
        <v>1</v>
      </c>
      <c r="B233" s="181" t="s">
        <v>176</v>
      </c>
      <c r="C233" s="182"/>
      <c r="D233" s="182"/>
      <c r="E233" s="195"/>
      <c r="F233" s="193"/>
      <c r="G233" s="195" t="s">
        <v>179</v>
      </c>
      <c r="H233" s="183" t="s">
        <v>71</v>
      </c>
      <c r="I233" s="24" t="s">
        <v>90</v>
      </c>
      <c r="M233" s="138" t="s">
        <v>1371</v>
      </c>
      <c r="N233" s="140" t="str">
        <f>IF(AND(I$231="Yes",I233&lt;&gt;"Yes"),"Required feature.","")</f>
        <v/>
      </c>
      <c r="O233" s="140"/>
      <c r="P233" s="140"/>
    </row>
    <row r="234" spans="1:16">
      <c r="A234" s="181" t="s">
        <v>1</v>
      </c>
      <c r="B234" s="181" t="s">
        <v>176</v>
      </c>
      <c r="C234" s="182"/>
      <c r="D234" s="182"/>
      <c r="E234" s="195"/>
      <c r="F234" s="193"/>
      <c r="G234" s="195" t="s">
        <v>180</v>
      </c>
      <c r="H234" s="183" t="s">
        <v>71</v>
      </c>
      <c r="I234" s="24" t="s">
        <v>90</v>
      </c>
      <c r="M234" s="138" t="s">
        <v>1370</v>
      </c>
      <c r="N234" s="140" t="str">
        <f>IF(AND(I$231="Yes",I234&lt;&gt;"Yes"),"Required feature.","")</f>
        <v/>
      </c>
      <c r="O234" s="140"/>
      <c r="P234" s="140"/>
    </row>
    <row r="235" spans="1:16">
      <c r="A235" s="181" t="s">
        <v>1</v>
      </c>
      <c r="B235" s="181" t="s">
        <v>176</v>
      </c>
      <c r="C235" s="182"/>
      <c r="D235" s="182"/>
      <c r="E235" s="195"/>
      <c r="F235" s="193"/>
      <c r="G235" s="195" t="s">
        <v>1362</v>
      </c>
      <c r="H235" s="183" t="s">
        <v>4</v>
      </c>
      <c r="I235" s="24" t="s">
        <v>90</v>
      </c>
      <c r="M235" s="138" t="s">
        <v>1369</v>
      </c>
      <c r="N235" s="140"/>
      <c r="O235" s="140"/>
      <c r="P235" s="140"/>
    </row>
    <row r="236" spans="1:16">
      <c r="A236" s="181" t="s">
        <v>1</v>
      </c>
      <c r="B236" s="181" t="s">
        <v>164</v>
      </c>
      <c r="C236" s="195"/>
      <c r="D236" s="272" t="s">
        <v>175</v>
      </c>
      <c r="E236" s="277"/>
      <c r="F236" s="277"/>
      <c r="G236" s="273"/>
      <c r="H236" s="183" t="s">
        <v>94</v>
      </c>
      <c r="I236" s="24" t="s">
        <v>90</v>
      </c>
      <c r="M236" s="138" t="s">
        <v>441</v>
      </c>
      <c r="N236" s="140" t="str">
        <f>IF(AND(I$205="Yes",I$206&lt;&gt;"Yes",$I266&lt;&gt;"Yes"),"Required Feature","")</f>
        <v/>
      </c>
      <c r="O236" s="140"/>
      <c r="P236" s="140"/>
    </row>
    <row r="237" spans="1:16">
      <c r="A237" s="181" t="s">
        <v>1</v>
      </c>
      <c r="B237" s="181" t="s">
        <v>164</v>
      </c>
      <c r="C237" s="182"/>
      <c r="D237" s="182"/>
      <c r="E237" s="272" t="s">
        <v>167</v>
      </c>
      <c r="F237" s="277"/>
      <c r="G237" s="273"/>
      <c r="H237" s="183" t="s">
        <v>71</v>
      </c>
      <c r="I237" s="24" t="s">
        <v>90</v>
      </c>
      <c r="M237" s="138" t="s">
        <v>442</v>
      </c>
      <c r="N237" s="140" t="str">
        <f>IF(AND(I$236="Yes",I237&lt;&gt;"Yes"),"Required feature.","")</f>
        <v/>
      </c>
      <c r="O237" s="140"/>
      <c r="P237" s="140"/>
    </row>
    <row r="238" spans="1:16">
      <c r="A238" s="181" t="s">
        <v>1</v>
      </c>
      <c r="B238" s="181" t="s">
        <v>164</v>
      </c>
      <c r="C238" s="182"/>
      <c r="D238" s="182"/>
      <c r="E238" s="272" t="s">
        <v>166</v>
      </c>
      <c r="F238" s="277"/>
      <c r="G238" s="273"/>
      <c r="H238" s="183" t="s">
        <v>71</v>
      </c>
      <c r="I238" s="24" t="s">
        <v>90</v>
      </c>
      <c r="M238" s="138" t="s">
        <v>430</v>
      </c>
      <c r="N238" s="140" t="str">
        <f t="shared" ref="N238:N245" si="4">IF(AND(I$236="Yes",I238&lt;&gt;"Yes"),"Required feature.","")</f>
        <v/>
      </c>
      <c r="O238" s="140"/>
      <c r="P238" s="140"/>
    </row>
    <row r="239" spans="1:16">
      <c r="A239" s="181" t="s">
        <v>1</v>
      </c>
      <c r="B239" s="181" t="s">
        <v>164</v>
      </c>
      <c r="C239" s="182"/>
      <c r="D239" s="182"/>
      <c r="E239" s="272" t="s">
        <v>168</v>
      </c>
      <c r="F239" s="277"/>
      <c r="G239" s="273"/>
      <c r="H239" s="183" t="s">
        <v>71</v>
      </c>
      <c r="I239" s="24" t="s">
        <v>90</v>
      </c>
      <c r="M239" s="138" t="s">
        <v>443</v>
      </c>
      <c r="N239" s="140" t="str">
        <f t="shared" si="4"/>
        <v/>
      </c>
      <c r="O239" s="140"/>
      <c r="P239" s="140"/>
    </row>
    <row r="240" spans="1:16">
      <c r="A240" s="181" t="s">
        <v>1</v>
      </c>
      <c r="B240" s="181" t="s">
        <v>164</v>
      </c>
      <c r="C240" s="182"/>
      <c r="D240" s="182"/>
      <c r="E240" s="272" t="s">
        <v>169</v>
      </c>
      <c r="F240" s="277"/>
      <c r="G240" s="273"/>
      <c r="H240" s="183" t="s">
        <v>71</v>
      </c>
      <c r="I240" s="24" t="s">
        <v>90</v>
      </c>
      <c r="M240" s="138" t="s">
        <v>444</v>
      </c>
      <c r="N240" s="140" t="str">
        <f t="shared" si="4"/>
        <v/>
      </c>
      <c r="O240" s="140"/>
      <c r="P240" s="140"/>
    </row>
    <row r="241" spans="1:16">
      <c r="A241" s="181" t="s">
        <v>1</v>
      </c>
      <c r="B241" s="181" t="s">
        <v>164</v>
      </c>
      <c r="C241" s="182"/>
      <c r="D241" s="182"/>
      <c r="E241" s="272" t="s">
        <v>170</v>
      </c>
      <c r="F241" s="277"/>
      <c r="G241" s="273"/>
      <c r="H241" s="183" t="s">
        <v>71</v>
      </c>
      <c r="I241" s="24" t="s">
        <v>90</v>
      </c>
      <c r="M241" s="138" t="s">
        <v>445</v>
      </c>
      <c r="N241" s="140" t="str">
        <f t="shared" si="4"/>
        <v/>
      </c>
      <c r="O241" s="140"/>
      <c r="P241" s="140"/>
    </row>
    <row r="242" spans="1:16">
      <c r="A242" s="181" t="s">
        <v>1</v>
      </c>
      <c r="B242" s="181" t="s">
        <v>164</v>
      </c>
      <c r="C242" s="182"/>
      <c r="D242" s="182"/>
      <c r="E242" s="272" t="s">
        <v>171</v>
      </c>
      <c r="F242" s="277"/>
      <c r="G242" s="273"/>
      <c r="H242" s="183" t="s">
        <v>71</v>
      </c>
      <c r="I242" s="24" t="s">
        <v>90</v>
      </c>
      <c r="M242" s="138" t="s">
        <v>446</v>
      </c>
      <c r="N242" s="140" t="str">
        <f t="shared" si="4"/>
        <v/>
      </c>
      <c r="O242" s="140"/>
      <c r="P242" s="140"/>
    </row>
    <row r="243" spans="1:16">
      <c r="A243" s="181" t="s">
        <v>1</v>
      </c>
      <c r="B243" s="181" t="s">
        <v>164</v>
      </c>
      <c r="C243" s="182"/>
      <c r="D243" s="182"/>
      <c r="E243" s="272" t="s">
        <v>172</v>
      </c>
      <c r="F243" s="277"/>
      <c r="G243" s="273"/>
      <c r="H243" s="183" t="s">
        <v>71</v>
      </c>
      <c r="I243" s="24" t="s">
        <v>90</v>
      </c>
      <c r="M243" s="138" t="s">
        <v>447</v>
      </c>
      <c r="N243" s="140" t="str">
        <f t="shared" si="4"/>
        <v/>
      </c>
      <c r="O243" s="140"/>
      <c r="P243" s="140"/>
    </row>
    <row r="244" spans="1:16">
      <c r="A244" s="181" t="s">
        <v>1</v>
      </c>
      <c r="B244" s="181" t="s">
        <v>164</v>
      </c>
      <c r="C244" s="182"/>
      <c r="D244" s="182"/>
      <c r="E244" s="272" t="s">
        <v>173</v>
      </c>
      <c r="F244" s="277"/>
      <c r="G244" s="273"/>
      <c r="H244" s="183" t="s">
        <v>71</v>
      </c>
      <c r="I244" s="24" t="s">
        <v>90</v>
      </c>
      <c r="M244" s="138" t="s">
        <v>448</v>
      </c>
      <c r="N244" s="140" t="str">
        <f t="shared" si="4"/>
        <v/>
      </c>
      <c r="O244" s="140"/>
      <c r="P244" s="140"/>
    </row>
    <row r="245" spans="1:16">
      <c r="A245" s="181" t="s">
        <v>1</v>
      </c>
      <c r="B245" s="181" t="s">
        <v>164</v>
      </c>
      <c r="C245" s="182"/>
      <c r="D245" s="182"/>
      <c r="E245" s="272" t="s">
        <v>174</v>
      </c>
      <c r="F245" s="277"/>
      <c r="G245" s="273"/>
      <c r="H245" s="183" t="s">
        <v>71</v>
      </c>
      <c r="I245" s="24" t="s">
        <v>90</v>
      </c>
      <c r="M245" s="138" t="s">
        <v>449</v>
      </c>
      <c r="N245" s="140" t="str">
        <f t="shared" si="4"/>
        <v/>
      </c>
      <c r="O245" s="140"/>
      <c r="P245" s="140"/>
    </row>
    <row r="246" spans="1:16">
      <c r="A246" s="181" t="s">
        <v>1</v>
      </c>
      <c r="B246" s="181" t="s">
        <v>176</v>
      </c>
      <c r="C246" s="188"/>
      <c r="D246" s="188"/>
      <c r="E246" s="272" t="s">
        <v>496</v>
      </c>
      <c r="F246" s="277"/>
      <c r="G246" s="273"/>
      <c r="H246" s="183" t="s">
        <v>4</v>
      </c>
      <c r="I246" s="24" t="s">
        <v>90</v>
      </c>
      <c r="M246" s="138" t="s">
        <v>607</v>
      </c>
      <c r="N246" s="140" t="str">
        <f>IF(AND(I246="Yes",I236&lt;&gt;"Yes"),"Must support CDB Sink to support SBP Sink.","")</f>
        <v/>
      </c>
      <c r="O246" s="140"/>
      <c r="P246" s="140"/>
    </row>
    <row r="247" spans="1:16">
      <c r="A247" s="181" t="s">
        <v>1</v>
      </c>
      <c r="B247" s="181" t="s">
        <v>176</v>
      </c>
      <c r="C247" s="182"/>
      <c r="D247" s="182"/>
      <c r="E247" s="195"/>
      <c r="F247" s="272" t="s">
        <v>177</v>
      </c>
      <c r="G247" s="273"/>
      <c r="H247" s="183" t="s">
        <v>71</v>
      </c>
      <c r="I247" s="24" t="s">
        <v>90</v>
      </c>
      <c r="M247" s="138" t="s">
        <v>608</v>
      </c>
      <c r="N247" s="140" t="str">
        <f>IF(AND(I$246="Yes",I247&lt;&gt;"Yes"),"Required feature.","")</f>
        <v/>
      </c>
      <c r="O247" s="140"/>
      <c r="P247" s="140"/>
    </row>
    <row r="248" spans="1:16">
      <c r="A248" s="181" t="s">
        <v>1</v>
      </c>
      <c r="B248" s="181" t="s">
        <v>176</v>
      </c>
      <c r="C248" s="182"/>
      <c r="D248" s="182"/>
      <c r="E248" s="195"/>
      <c r="F248" s="272" t="s">
        <v>178</v>
      </c>
      <c r="G248" s="273"/>
      <c r="H248" s="183" t="s">
        <v>71</v>
      </c>
      <c r="I248" s="24" t="s">
        <v>90</v>
      </c>
      <c r="M248" s="138" t="s">
        <v>609</v>
      </c>
      <c r="N248" s="140" t="str">
        <f t="shared" ref="N248:N256" si="5">IF(AND(I$246="Yes",I248&lt;&gt;"Yes"),"Required feature.","")</f>
        <v/>
      </c>
      <c r="O248" s="140"/>
      <c r="P248" s="140"/>
    </row>
    <row r="249" spans="1:16">
      <c r="A249" s="181" t="s">
        <v>1</v>
      </c>
      <c r="B249" s="181" t="s">
        <v>176</v>
      </c>
      <c r="C249" s="182"/>
      <c r="D249" s="182"/>
      <c r="E249" s="195"/>
      <c r="F249" s="272" t="s">
        <v>179</v>
      </c>
      <c r="G249" s="273"/>
      <c r="H249" s="183" t="s">
        <v>71</v>
      </c>
      <c r="I249" s="24" t="s">
        <v>90</v>
      </c>
      <c r="M249" s="138" t="s">
        <v>610</v>
      </c>
      <c r="N249" s="140" t="str">
        <f t="shared" si="5"/>
        <v/>
      </c>
      <c r="O249" s="140"/>
      <c r="P249" s="140"/>
    </row>
    <row r="250" spans="1:16" s="184" customFormat="1">
      <c r="A250" s="254" t="s">
        <v>1</v>
      </c>
      <c r="B250" s="254" t="s">
        <v>176</v>
      </c>
      <c r="C250" s="262"/>
      <c r="D250" s="262"/>
      <c r="E250" s="262"/>
      <c r="F250" s="263"/>
      <c r="G250" s="262" t="s">
        <v>2144</v>
      </c>
      <c r="H250" s="190" t="s">
        <v>4</v>
      </c>
      <c r="I250" s="259" t="s">
        <v>90</v>
      </c>
      <c r="M250" s="171" t="s">
        <v>2147</v>
      </c>
      <c r="N250" s="215" t="str">
        <f t="shared" ref="N250" si="6">IF(AND(I$216="Yes",I250&lt;&gt;"Yes"),"Required feature.","")</f>
        <v/>
      </c>
      <c r="O250" s="215" t="s">
        <v>2145</v>
      </c>
      <c r="P250" s="215" t="s">
        <v>1948</v>
      </c>
    </row>
    <row r="251" spans="1:16">
      <c r="A251" s="181" t="s">
        <v>1</v>
      </c>
      <c r="B251" s="181" t="s">
        <v>176</v>
      </c>
      <c r="C251" s="182"/>
      <c r="D251" s="182"/>
      <c r="E251" s="195"/>
      <c r="F251" s="272" t="s">
        <v>180</v>
      </c>
      <c r="G251" s="273"/>
      <c r="H251" s="183" t="s">
        <v>71</v>
      </c>
      <c r="I251" s="24" t="s">
        <v>90</v>
      </c>
      <c r="M251" s="138" t="s">
        <v>611</v>
      </c>
      <c r="N251" s="140" t="str">
        <f t="shared" si="5"/>
        <v/>
      </c>
      <c r="O251" s="140"/>
      <c r="P251" s="140"/>
    </row>
    <row r="252" spans="1:16">
      <c r="A252" s="181" t="s">
        <v>1</v>
      </c>
      <c r="B252" s="181" t="s">
        <v>176</v>
      </c>
      <c r="C252" s="182"/>
      <c r="D252" s="182"/>
      <c r="E252" s="195"/>
      <c r="F252" s="272" t="s">
        <v>181</v>
      </c>
      <c r="G252" s="273"/>
      <c r="H252" s="183" t="s">
        <v>71</v>
      </c>
      <c r="I252" s="24" t="s">
        <v>90</v>
      </c>
      <c r="M252" s="138" t="s">
        <v>612</v>
      </c>
      <c r="N252" s="140" t="str">
        <f t="shared" si="5"/>
        <v/>
      </c>
      <c r="O252" s="140"/>
      <c r="P252" s="140"/>
    </row>
    <row r="253" spans="1:16">
      <c r="A253" s="181" t="s">
        <v>1</v>
      </c>
      <c r="B253" s="181" t="s">
        <v>176</v>
      </c>
      <c r="C253" s="182"/>
      <c r="D253" s="182"/>
      <c r="E253" s="195"/>
      <c r="F253" s="272" t="s">
        <v>182</v>
      </c>
      <c r="G253" s="273"/>
      <c r="H253" s="183" t="s">
        <v>71</v>
      </c>
      <c r="I253" s="24" t="s">
        <v>90</v>
      </c>
      <c r="M253" s="138" t="s">
        <v>613</v>
      </c>
      <c r="N253" s="140" t="str">
        <f t="shared" si="5"/>
        <v/>
      </c>
      <c r="O253" s="140"/>
      <c r="P253" s="140"/>
    </row>
    <row r="254" spans="1:16">
      <c r="A254" s="181" t="s">
        <v>1</v>
      </c>
      <c r="B254" s="181" t="s">
        <v>176</v>
      </c>
      <c r="C254" s="182"/>
      <c r="D254" s="182"/>
      <c r="E254" s="195"/>
      <c r="F254" s="272" t="s">
        <v>183</v>
      </c>
      <c r="G254" s="273"/>
      <c r="H254" s="183" t="s">
        <v>71</v>
      </c>
      <c r="I254" s="24" t="s">
        <v>90</v>
      </c>
      <c r="M254" s="138" t="s">
        <v>614</v>
      </c>
      <c r="N254" s="140" t="str">
        <f>IF(AND(I$246="Yes",I254&lt;&gt;"Yes"),"Required feature.","")</f>
        <v/>
      </c>
      <c r="O254" s="140"/>
      <c r="P254" s="140"/>
    </row>
    <row r="255" spans="1:16">
      <c r="A255" s="181" t="s">
        <v>1</v>
      </c>
      <c r="B255" s="181" t="s">
        <v>176</v>
      </c>
      <c r="C255" s="182"/>
      <c r="D255" s="182"/>
      <c r="E255" s="195"/>
      <c r="F255" s="272" t="s">
        <v>184</v>
      </c>
      <c r="G255" s="273"/>
      <c r="H255" s="183" t="s">
        <v>71</v>
      </c>
      <c r="I255" s="24" t="s">
        <v>90</v>
      </c>
      <c r="M255" s="138" t="s">
        <v>615</v>
      </c>
      <c r="N255" s="140" t="str">
        <f t="shared" si="5"/>
        <v/>
      </c>
      <c r="O255" s="140"/>
      <c r="P255" s="140"/>
    </row>
    <row r="256" spans="1:16">
      <c r="A256" s="181" t="s">
        <v>1</v>
      </c>
      <c r="B256" s="181" t="s">
        <v>176</v>
      </c>
      <c r="C256" s="182"/>
      <c r="D256" s="182"/>
      <c r="E256" s="195"/>
      <c r="F256" s="272" t="s">
        <v>185</v>
      </c>
      <c r="G256" s="273"/>
      <c r="H256" s="183" t="s">
        <v>71</v>
      </c>
      <c r="I256" s="24" t="s">
        <v>90</v>
      </c>
      <c r="M256" s="138" t="s">
        <v>616</v>
      </c>
      <c r="N256" s="140" t="str">
        <f t="shared" si="5"/>
        <v/>
      </c>
      <c r="O256" s="140"/>
      <c r="P256" s="140"/>
    </row>
    <row r="257" spans="1:16">
      <c r="A257" s="181" t="s">
        <v>1</v>
      </c>
      <c r="B257" s="181" t="s">
        <v>176</v>
      </c>
      <c r="C257" s="188"/>
      <c r="D257" s="188"/>
      <c r="E257" s="272" t="s">
        <v>497</v>
      </c>
      <c r="F257" s="277"/>
      <c r="G257" s="273"/>
      <c r="H257" s="183" t="s">
        <v>4</v>
      </c>
      <c r="I257" s="24" t="s">
        <v>90</v>
      </c>
      <c r="M257" s="138" t="s">
        <v>617</v>
      </c>
      <c r="N257" s="140"/>
      <c r="O257" s="140"/>
      <c r="P257" s="140"/>
    </row>
    <row r="258" spans="1:16">
      <c r="A258" s="181" t="s">
        <v>1</v>
      </c>
      <c r="B258" s="181" t="s">
        <v>176</v>
      </c>
      <c r="C258" s="182"/>
      <c r="D258" s="182"/>
      <c r="E258" s="195"/>
      <c r="F258" s="272" t="s">
        <v>186</v>
      </c>
      <c r="G258" s="273"/>
      <c r="H258" s="183" t="s">
        <v>4</v>
      </c>
      <c r="I258" s="24" t="s">
        <v>90</v>
      </c>
      <c r="M258" s="138" t="s">
        <v>618</v>
      </c>
      <c r="N258" s="140" t="str">
        <f>IF(AND(I258="Yes",I246&lt;&gt;"Yes"),"Must support SBP Sink to support GPS Sink.","")</f>
        <v/>
      </c>
      <c r="O258" s="140"/>
      <c r="P258" s="140"/>
    </row>
    <row r="259" spans="1:16">
      <c r="A259" s="181" t="s">
        <v>1</v>
      </c>
      <c r="B259" s="181" t="s">
        <v>176</v>
      </c>
      <c r="C259" s="182"/>
      <c r="D259" s="182"/>
      <c r="E259" s="195"/>
      <c r="F259" s="193"/>
      <c r="G259" s="195" t="s">
        <v>177</v>
      </c>
      <c r="H259" s="183" t="s">
        <v>71</v>
      </c>
      <c r="I259" s="24" t="s">
        <v>90</v>
      </c>
      <c r="M259" s="138" t="s">
        <v>1363</v>
      </c>
      <c r="N259" s="140" t="str">
        <f>IF(AND(I$258="Yes",I259&lt;&gt;"Yes"),"Required feature.","")</f>
        <v/>
      </c>
      <c r="O259" s="140"/>
      <c r="P259" s="140"/>
    </row>
    <row r="260" spans="1:16">
      <c r="A260" s="181" t="s">
        <v>1</v>
      </c>
      <c r="B260" s="181" t="s">
        <v>176</v>
      </c>
      <c r="C260" s="182"/>
      <c r="D260" s="182"/>
      <c r="E260" s="195"/>
      <c r="F260" s="193"/>
      <c r="G260" s="195" t="s">
        <v>179</v>
      </c>
      <c r="H260" s="183" t="s">
        <v>71</v>
      </c>
      <c r="I260" s="24" t="s">
        <v>90</v>
      </c>
      <c r="M260" s="138" t="s">
        <v>1364</v>
      </c>
      <c r="N260" s="140" t="str">
        <f>IF(AND(I$258="Yes",I260&lt;&gt;"Yes"),"Required feature.","")</f>
        <v/>
      </c>
      <c r="O260" s="140"/>
      <c r="P260" s="140"/>
    </row>
    <row r="261" spans="1:16">
      <c r="A261" s="181" t="s">
        <v>1</v>
      </c>
      <c r="B261" s="181" t="s">
        <v>176</v>
      </c>
      <c r="C261" s="182"/>
      <c r="D261" s="182"/>
      <c r="E261" s="195"/>
      <c r="F261" s="193"/>
      <c r="G261" s="195" t="s">
        <v>180</v>
      </c>
      <c r="H261" s="183" t="s">
        <v>71</v>
      </c>
      <c r="I261" s="24" t="s">
        <v>90</v>
      </c>
      <c r="M261" s="138" t="s">
        <v>1365</v>
      </c>
      <c r="N261" s="140" t="str">
        <f>IF(AND(I$258="Yes",I261&lt;&gt;"Yes"),"Required feature.","")</f>
        <v/>
      </c>
      <c r="O261" s="140"/>
      <c r="P261" s="140"/>
    </row>
    <row r="262" spans="1:16">
      <c r="A262" s="181" t="s">
        <v>1</v>
      </c>
      <c r="B262" s="181" t="s">
        <v>176</v>
      </c>
      <c r="C262" s="182"/>
      <c r="D262" s="182"/>
      <c r="E262" s="195"/>
      <c r="F262" s="193" t="s">
        <v>187</v>
      </c>
      <c r="G262" s="197"/>
      <c r="H262" s="183" t="s">
        <v>4</v>
      </c>
      <c r="I262" s="24" t="s">
        <v>90</v>
      </c>
      <c r="M262" s="138" t="s">
        <v>619</v>
      </c>
      <c r="N262" s="140" t="str">
        <f>IF(AND(I262="Yes",I246&lt;&gt;"Yes"),"Must support SBP Sink to support Location Sink.","")</f>
        <v/>
      </c>
      <c r="O262" s="140"/>
      <c r="P262" s="140"/>
    </row>
    <row r="263" spans="1:16">
      <c r="A263" s="181" t="s">
        <v>1</v>
      </c>
      <c r="B263" s="181" t="s">
        <v>176</v>
      </c>
      <c r="C263" s="182"/>
      <c r="D263" s="182"/>
      <c r="E263" s="195"/>
      <c r="F263" s="193"/>
      <c r="G263" s="195" t="s">
        <v>177</v>
      </c>
      <c r="H263" s="183" t="s">
        <v>71</v>
      </c>
      <c r="I263" s="24" t="s">
        <v>90</v>
      </c>
      <c r="M263" s="138" t="s">
        <v>1366</v>
      </c>
      <c r="N263" s="140" t="str">
        <f>IF(AND(I$262="Yes",I263&lt;&gt;"Yes"),"Required feature.","")</f>
        <v/>
      </c>
      <c r="O263" s="140"/>
      <c r="P263" s="140"/>
    </row>
    <row r="264" spans="1:16">
      <c r="A264" s="181" t="s">
        <v>1</v>
      </c>
      <c r="B264" s="181" t="s">
        <v>176</v>
      </c>
      <c r="C264" s="182"/>
      <c r="D264" s="182"/>
      <c r="E264" s="195"/>
      <c r="F264" s="193"/>
      <c r="G264" s="195" t="s">
        <v>179</v>
      </c>
      <c r="H264" s="183" t="s">
        <v>71</v>
      </c>
      <c r="I264" s="24" t="s">
        <v>90</v>
      </c>
      <c r="M264" s="138" t="s">
        <v>1367</v>
      </c>
      <c r="N264" s="140" t="str">
        <f>IF(AND(I$262="Yes",I264&lt;&gt;"Yes"),"Required feature.","")</f>
        <v/>
      </c>
      <c r="O264" s="140"/>
      <c r="P264" s="140"/>
    </row>
    <row r="265" spans="1:16">
      <c r="A265" s="181" t="s">
        <v>1</v>
      </c>
      <c r="B265" s="181" t="s">
        <v>176</v>
      </c>
      <c r="C265" s="182"/>
      <c r="D265" s="182"/>
      <c r="E265" s="195"/>
      <c r="F265" s="193"/>
      <c r="G265" s="195" t="s">
        <v>180</v>
      </c>
      <c r="H265" s="183" t="s">
        <v>71</v>
      </c>
      <c r="I265" s="24" t="s">
        <v>90</v>
      </c>
      <c r="M265" s="138" t="s">
        <v>1368</v>
      </c>
      <c r="N265" s="140" t="str">
        <f>IF(AND(I$262="Yes",I265&lt;&gt;"Yes"),"Required feature.","")</f>
        <v/>
      </c>
      <c r="O265" s="140"/>
      <c r="P265" s="140"/>
    </row>
    <row r="266" spans="1:16">
      <c r="M266" s="143"/>
    </row>
    <row r="267" spans="1:16">
      <c r="M267" s="143"/>
    </row>
    <row r="268" spans="1:16">
      <c r="M268" s="143"/>
    </row>
    <row r="269" spans="1:16">
      <c r="A269" s="143"/>
      <c r="B269" s="143"/>
      <c r="C269" s="143"/>
      <c r="D269" s="143"/>
      <c r="E269" s="143"/>
      <c r="F269" s="143"/>
      <c r="G269" s="143"/>
      <c r="H269" s="143"/>
      <c r="J269" s="231"/>
      <c r="K269" s="231"/>
      <c r="L269" s="231"/>
      <c r="M269" s="143"/>
    </row>
    <row r="270" spans="1:16">
      <c r="A270" s="143"/>
      <c r="B270" s="143"/>
      <c r="C270" s="143"/>
      <c r="D270" s="143"/>
      <c r="E270" s="143"/>
      <c r="F270" s="143"/>
      <c r="G270" s="143"/>
      <c r="H270" s="143"/>
      <c r="J270" s="231"/>
      <c r="K270" s="231"/>
      <c r="L270" s="231"/>
      <c r="M270" s="143"/>
    </row>
    <row r="271" spans="1:16">
      <c r="A271" s="143"/>
      <c r="B271" s="143"/>
      <c r="C271" s="143"/>
      <c r="D271" s="143"/>
      <c r="E271" s="143"/>
      <c r="F271" s="143"/>
      <c r="G271" s="143"/>
      <c r="H271" s="143"/>
      <c r="J271" s="231"/>
      <c r="K271" s="231"/>
      <c r="L271" s="231"/>
      <c r="M271" s="143"/>
    </row>
  </sheetData>
  <sheetProtection sheet="1" objects="1" scenarios="1" sort="0" autoFilter="0"/>
  <autoFilter ref="A1:N265">
    <filterColumn colId="2" showButton="0"/>
    <filterColumn colId="3" showButton="0"/>
    <filterColumn colId="4" showButton="0"/>
    <filterColumn colId="5" showButton="0"/>
  </autoFilter>
  <mergeCells count="198">
    <mergeCell ref="F120:G120"/>
    <mergeCell ref="E6:G6"/>
    <mergeCell ref="E10:G10"/>
    <mergeCell ref="D156:G156"/>
    <mergeCell ref="D157:G157"/>
    <mergeCell ref="D159:G159"/>
    <mergeCell ref="D20:G20"/>
    <mergeCell ref="D24:G24"/>
    <mergeCell ref="E25:G25"/>
    <mergeCell ref="E28:G28"/>
    <mergeCell ref="E40:G40"/>
    <mergeCell ref="E43:G43"/>
    <mergeCell ref="E46:G46"/>
    <mergeCell ref="D52:G52"/>
    <mergeCell ref="E53:G53"/>
    <mergeCell ref="E54:G54"/>
    <mergeCell ref="E70:G70"/>
    <mergeCell ref="E69:G69"/>
    <mergeCell ref="E68:G68"/>
    <mergeCell ref="E76:G76"/>
    <mergeCell ref="E79:G79"/>
    <mergeCell ref="E81:G81"/>
    <mergeCell ref="F112:G112"/>
    <mergeCell ref="E73:G73"/>
    <mergeCell ref="E160:G160"/>
    <mergeCell ref="E129:G129"/>
    <mergeCell ref="F130:G130"/>
    <mergeCell ref="F133:G133"/>
    <mergeCell ref="F161:G161"/>
    <mergeCell ref="F162:G162"/>
    <mergeCell ref="E148:G148"/>
    <mergeCell ref="E149:G149"/>
    <mergeCell ref="E150:G150"/>
    <mergeCell ref="E151:G151"/>
    <mergeCell ref="C142:G142"/>
    <mergeCell ref="F137:G137"/>
    <mergeCell ref="F171:G171"/>
    <mergeCell ref="F184:G184"/>
    <mergeCell ref="F177:G177"/>
    <mergeCell ref="F178:G178"/>
    <mergeCell ref="E174:G174"/>
    <mergeCell ref="E176:G176"/>
    <mergeCell ref="F175:G175"/>
    <mergeCell ref="E163:G163"/>
    <mergeCell ref="F164:G164"/>
    <mergeCell ref="F106:G106"/>
    <mergeCell ref="F119:G119"/>
    <mergeCell ref="E121:G121"/>
    <mergeCell ref="D197:G197"/>
    <mergeCell ref="E200:G200"/>
    <mergeCell ref="E202:G202"/>
    <mergeCell ref="E201:G201"/>
    <mergeCell ref="E199:G199"/>
    <mergeCell ref="E198:G198"/>
    <mergeCell ref="F179:G179"/>
    <mergeCell ref="D191:G191"/>
    <mergeCell ref="E193:G193"/>
    <mergeCell ref="E194:G194"/>
    <mergeCell ref="F182:G182"/>
    <mergeCell ref="F188:G188"/>
    <mergeCell ref="F189:G189"/>
    <mergeCell ref="F190:G190"/>
    <mergeCell ref="D180:G180"/>
    <mergeCell ref="E181:G181"/>
    <mergeCell ref="E183:G183"/>
    <mergeCell ref="C196:G196"/>
    <mergeCell ref="E192:G192"/>
    <mergeCell ref="F169:G169"/>
    <mergeCell ref="F170:G170"/>
    <mergeCell ref="F78:G78"/>
    <mergeCell ref="F82:G82"/>
    <mergeCell ref="F103:G103"/>
    <mergeCell ref="E203:G203"/>
    <mergeCell ref="D143:G143"/>
    <mergeCell ref="E144:G144"/>
    <mergeCell ref="E145:G145"/>
    <mergeCell ref="E146:G146"/>
    <mergeCell ref="D147:G147"/>
    <mergeCell ref="C158:G158"/>
    <mergeCell ref="E140:G140"/>
    <mergeCell ref="E85:G85"/>
    <mergeCell ref="E87:G87"/>
    <mergeCell ref="F115:G115"/>
    <mergeCell ref="F109:G109"/>
    <mergeCell ref="E108:G108"/>
    <mergeCell ref="E107:G107"/>
    <mergeCell ref="D128:G128"/>
    <mergeCell ref="E90:G90"/>
    <mergeCell ref="E91:G91"/>
    <mergeCell ref="F92:G92"/>
    <mergeCell ref="E93:G93"/>
    <mergeCell ref="E94:G94"/>
    <mergeCell ref="F105:G105"/>
    <mergeCell ref="C1:G1"/>
    <mergeCell ref="C2:G2"/>
    <mergeCell ref="D3:G3"/>
    <mergeCell ref="E4:G4"/>
    <mergeCell ref="E5:G5"/>
    <mergeCell ref="F122:G122"/>
    <mergeCell ref="F127:G127"/>
    <mergeCell ref="F95:G95"/>
    <mergeCell ref="F96:G96"/>
    <mergeCell ref="F98:G98"/>
    <mergeCell ref="F100:G100"/>
    <mergeCell ref="F102:G102"/>
    <mergeCell ref="E13:G13"/>
    <mergeCell ref="F14:G14"/>
    <mergeCell ref="E7:G7"/>
    <mergeCell ref="E8:G8"/>
    <mergeCell ref="D9:G9"/>
    <mergeCell ref="E11:G11"/>
    <mergeCell ref="F12:G12"/>
    <mergeCell ref="F104:G104"/>
    <mergeCell ref="E62:G62"/>
    <mergeCell ref="E23:G23"/>
    <mergeCell ref="D22:G22"/>
    <mergeCell ref="D49:G49"/>
    <mergeCell ref="D15:G15"/>
    <mergeCell ref="C205:G205"/>
    <mergeCell ref="E215:G215"/>
    <mergeCell ref="E216:G216"/>
    <mergeCell ref="F217:G217"/>
    <mergeCell ref="F218:G218"/>
    <mergeCell ref="F219:G219"/>
    <mergeCell ref="F220:G220"/>
    <mergeCell ref="F221:G221"/>
    <mergeCell ref="E37:G37"/>
    <mergeCell ref="F88:G88"/>
    <mergeCell ref="E16:G16"/>
    <mergeCell ref="E17:G17"/>
    <mergeCell ref="C19:G19"/>
    <mergeCell ref="D67:G67"/>
    <mergeCell ref="E50:G50"/>
    <mergeCell ref="E51:G51"/>
    <mergeCell ref="E21:G21"/>
    <mergeCell ref="E55:G55"/>
    <mergeCell ref="E56:G56"/>
    <mergeCell ref="E57:G57"/>
    <mergeCell ref="E59:G59"/>
    <mergeCell ref="E60:G60"/>
    <mergeCell ref="E61:G61"/>
    <mergeCell ref="E246:G246"/>
    <mergeCell ref="F247:G247"/>
    <mergeCell ref="F258:G258"/>
    <mergeCell ref="F248:G248"/>
    <mergeCell ref="F249:G249"/>
    <mergeCell ref="F251:G251"/>
    <mergeCell ref="F252:G252"/>
    <mergeCell ref="F253:G253"/>
    <mergeCell ref="F254:G254"/>
    <mergeCell ref="F255:G255"/>
    <mergeCell ref="F256:G256"/>
    <mergeCell ref="E257:G257"/>
    <mergeCell ref="E242:G242"/>
    <mergeCell ref="E243:G243"/>
    <mergeCell ref="E244:G244"/>
    <mergeCell ref="F227:G227"/>
    <mergeCell ref="F231:G231"/>
    <mergeCell ref="D236:G236"/>
    <mergeCell ref="E237:G237"/>
    <mergeCell ref="E238:G238"/>
    <mergeCell ref="E245:G245"/>
    <mergeCell ref="E241:G241"/>
    <mergeCell ref="E240:G240"/>
    <mergeCell ref="F222:G222"/>
    <mergeCell ref="D206:G206"/>
    <mergeCell ref="E214:G214"/>
    <mergeCell ref="E213:G213"/>
    <mergeCell ref="E212:G212"/>
    <mergeCell ref="E211:G211"/>
    <mergeCell ref="E210:G210"/>
    <mergeCell ref="E209:G209"/>
    <mergeCell ref="E208:G208"/>
    <mergeCell ref="E207:G207"/>
    <mergeCell ref="F223:G223"/>
    <mergeCell ref="D18:G18"/>
    <mergeCell ref="F97:G97"/>
    <mergeCell ref="F101:G101"/>
    <mergeCell ref="F99:G99"/>
    <mergeCell ref="F224:G224"/>
    <mergeCell ref="F225:G225"/>
    <mergeCell ref="E226:G226"/>
    <mergeCell ref="E239:G239"/>
    <mergeCell ref="F166:G166"/>
    <mergeCell ref="F167:G167"/>
    <mergeCell ref="F168:G168"/>
    <mergeCell ref="D173:G173"/>
    <mergeCell ref="E63:G63"/>
    <mergeCell ref="E64:G64"/>
    <mergeCell ref="E65:G65"/>
    <mergeCell ref="E31:G31"/>
    <mergeCell ref="E34:G34"/>
    <mergeCell ref="E74:G74"/>
    <mergeCell ref="E72:G72"/>
    <mergeCell ref="E71:G71"/>
    <mergeCell ref="D75:G75"/>
    <mergeCell ref="E77:G77"/>
    <mergeCell ref="D89:G89"/>
  </mergeCells>
  <dataValidations count="2">
    <dataValidation type="list" allowBlank="1" showInputMessage="1" showErrorMessage="1" sqref="H2:H18 H20:H195 H197:H265">
      <formula1>$K$2:$K$7</formula1>
    </dataValidation>
    <dataValidation type="list" allowBlank="1" showInputMessage="1" showErrorMessage="1" sqref="I2:I265">
      <formula1>$J$2:$J$4</formula1>
    </dataValidation>
  </dataValidations>
  <pageMargins left="0.7" right="0.7" top="0.75" bottom="0.75" header="0.3" footer="0.3"/>
  <pageSetup orientation="portrait"/>
  <headerFooter>
    <oddHeader>&amp;L&amp;"nokia pure text,Bold"&amp;10&amp;K99CC33Company Confidential&amp;C&amp;"arial,Bold"&amp;10&amp;K3E8430Nokia Internal Use Only</oddHeader>
    <oddFooter>&amp;L&amp;"nokia pure text,Bold"&amp;10&amp;K99CC33Company Confidential&amp;C&amp;"arial,Bold"&amp;10&amp;K3E8430Nokia Internal Use Only</oddFooter>
    <evenHeader>&amp;L&amp;"nokia pure text,Bold"&amp;10&amp;K99CC33Company Confidential&amp;C&amp;"arial,Bold"&amp;10&amp;K3E8430Nokia Internal Use Only</evenHeader>
    <evenFooter>&amp;L&amp;"nokia pure text,Bold"&amp;10&amp;K99CC33Company Confidential&amp;C&amp;"arial,Bold"&amp;10&amp;K3E8430Nokia Internal Use Only</evenFooter>
    <firstHeader>&amp;L&amp;"nokia pure text,Bold"&amp;10&amp;K99CC33Company Confidential&amp;C&amp;"arial,Bold"&amp;10&amp;K3E8430Nokia Internal Use Only</firstHeader>
    <firstFooter>&amp;L&amp;"nokia pure text,Bold"&amp;10&amp;K99CC33Company Confidential&amp;C&amp;"arial,Bold"&amp;10&amp;K3E8430Nokia Internal Use Only</firstFooter>
  </headerFooter>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N265"/>
  <sheetViews>
    <sheetView workbookViewId="0">
      <pane xSplit="1" ySplit="1" topLeftCell="B2" activePane="bottomRight" state="frozenSplit"/>
      <selection activeCell="D142" sqref="D142:G142"/>
      <selection pane="topRight" activeCell="D142" sqref="D142:G142"/>
      <selection pane="bottomLeft" activeCell="D142" sqref="D142:G142"/>
      <selection pane="bottomRight" activeCell="N26" sqref="N26"/>
    </sheetView>
  </sheetViews>
  <sheetFormatPr baseColWidth="10" defaultColWidth="9.1640625" defaultRowHeight="14" x14ac:dyDescent="0"/>
  <cols>
    <col min="1" max="1" width="53.33203125" style="144" bestFit="1" customWidth="1"/>
    <col min="2" max="2" width="11.83203125" style="145" customWidth="1"/>
    <col min="3" max="3" width="11.83203125" style="146" customWidth="1"/>
    <col min="4" max="4" width="11.83203125" style="147" bestFit="1" customWidth="1"/>
    <col min="5" max="5" width="46" style="148" bestFit="1" customWidth="1"/>
    <col min="6" max="6" width="9.1640625" style="147"/>
    <col min="7" max="7" width="40.1640625" style="148" bestFit="1" customWidth="1"/>
    <col min="8" max="8" width="12.83203125" style="147" bestFit="1" customWidth="1"/>
    <col min="9" max="9" width="36.5" style="148" bestFit="1" customWidth="1"/>
    <col min="10" max="10" width="12.83203125" style="147" bestFit="1" customWidth="1"/>
    <col min="11" max="11" width="30.5" style="148" bestFit="1" customWidth="1"/>
    <col min="12" max="14" width="17.83203125" style="149" bestFit="1" customWidth="1"/>
    <col min="15" max="16384" width="9.1640625" style="144"/>
  </cols>
  <sheetData>
    <row r="1" spans="1:14" s="158" customFormat="1" ht="29" thickBot="1">
      <c r="A1" s="198" t="s">
        <v>901</v>
      </c>
      <c r="B1" s="199" t="s">
        <v>902</v>
      </c>
      <c r="C1" s="200" t="s">
        <v>1323</v>
      </c>
      <c r="D1" s="200" t="s">
        <v>93</v>
      </c>
      <c r="E1" s="200" t="s">
        <v>903</v>
      </c>
      <c r="F1" s="200" t="s">
        <v>904</v>
      </c>
      <c r="G1" s="200" t="s">
        <v>905</v>
      </c>
      <c r="H1" s="200" t="s">
        <v>904</v>
      </c>
      <c r="I1" s="200" t="s">
        <v>906</v>
      </c>
      <c r="J1" s="200" t="s">
        <v>904</v>
      </c>
      <c r="K1" s="200" t="s">
        <v>907</v>
      </c>
      <c r="L1" s="201" t="s">
        <v>1123</v>
      </c>
      <c r="M1" s="201" t="s">
        <v>1393</v>
      </c>
      <c r="N1" s="201" t="s">
        <v>1394</v>
      </c>
    </row>
    <row r="2" spans="1:14" s="154" customFormat="1" ht="15" thickTop="1">
      <c r="A2" s="202" t="s">
        <v>1125</v>
      </c>
      <c r="B2" s="203">
        <v>1.1000000000000001</v>
      </c>
      <c r="C2" s="210" t="s">
        <v>89</v>
      </c>
      <c r="D2" s="205" t="s">
        <v>3</v>
      </c>
      <c r="E2" s="206" t="s">
        <v>560</v>
      </c>
      <c r="F2" s="205"/>
      <c r="G2" s="206" t="s">
        <v>1324</v>
      </c>
      <c r="H2" s="205"/>
      <c r="I2" s="206" t="s">
        <v>1324</v>
      </c>
      <c r="J2" s="205"/>
      <c r="K2" s="206" t="s">
        <v>1324</v>
      </c>
      <c r="L2" s="207"/>
      <c r="M2" s="207" t="s">
        <v>1395</v>
      </c>
      <c r="N2" s="207" t="s">
        <v>1396</v>
      </c>
    </row>
    <row r="3" spans="1:14" s="155" customFormat="1">
      <c r="A3" s="208" t="s">
        <v>1126</v>
      </c>
      <c r="B3" s="209">
        <v>1.1000000000000001</v>
      </c>
      <c r="C3" s="210" t="str">
        <f>IF(AND('Client PICS'!I$4="Yes",'Client PICS'!I$5="Yes",'Client PICS'!I$7="Yes"),"Yes","No")</f>
        <v>No</v>
      </c>
      <c r="D3" s="140" t="s">
        <v>71</v>
      </c>
      <c r="E3" s="211" t="s">
        <v>560</v>
      </c>
      <c r="F3" s="140" t="s">
        <v>1124</v>
      </c>
      <c r="G3" s="211" t="s">
        <v>724</v>
      </c>
      <c r="H3" s="140" t="s">
        <v>1124</v>
      </c>
      <c r="I3" s="211" t="s">
        <v>317</v>
      </c>
      <c r="J3" s="140"/>
      <c r="K3" s="211" t="s">
        <v>1324</v>
      </c>
      <c r="L3" s="212"/>
      <c r="M3" s="212" t="s">
        <v>1395</v>
      </c>
      <c r="N3" s="212" t="s">
        <v>1396</v>
      </c>
    </row>
    <row r="4" spans="1:14" s="155" customFormat="1">
      <c r="A4" s="208" t="s">
        <v>1335</v>
      </c>
      <c r="B4" s="209" t="s">
        <v>1336</v>
      </c>
      <c r="C4" s="210" t="s">
        <v>89</v>
      </c>
      <c r="D4" s="140" t="s">
        <v>3</v>
      </c>
      <c r="E4" s="211" t="s">
        <v>560</v>
      </c>
      <c r="F4" s="140"/>
      <c r="G4" s="211"/>
      <c r="H4" s="140"/>
      <c r="I4" s="211"/>
      <c r="J4" s="140"/>
      <c r="K4" s="211" t="s">
        <v>1324</v>
      </c>
      <c r="L4" s="212"/>
      <c r="M4" s="212" t="s">
        <v>1395</v>
      </c>
      <c r="N4" s="212" t="s">
        <v>1396</v>
      </c>
    </row>
    <row r="5" spans="1:14" s="155" customFormat="1">
      <c r="A5" s="208" t="s">
        <v>1127</v>
      </c>
      <c r="B5" s="209">
        <v>1.1000000000000001</v>
      </c>
      <c r="C5" s="210" t="str">
        <f>IF(AND('Client PICS'!I$4="Yes",'Client PICS'!I$5="Yes",'Client PICS'!I$7="Yes"),"Yes","No")</f>
        <v>No</v>
      </c>
      <c r="D5" s="140" t="s">
        <v>71</v>
      </c>
      <c r="E5" s="211" t="s">
        <v>560</v>
      </c>
      <c r="F5" s="140" t="s">
        <v>1124</v>
      </c>
      <c r="G5" s="211" t="s">
        <v>724</v>
      </c>
      <c r="H5" s="140" t="s">
        <v>1124</v>
      </c>
      <c r="I5" s="211" t="s">
        <v>317</v>
      </c>
      <c r="J5" s="140"/>
      <c r="K5" s="211" t="s">
        <v>1324</v>
      </c>
      <c r="L5" s="212"/>
      <c r="M5" s="212" t="s">
        <v>1395</v>
      </c>
      <c r="N5" s="212" t="s">
        <v>1396</v>
      </c>
    </row>
    <row r="6" spans="1:14" s="155" customFormat="1">
      <c r="A6" s="208" t="s">
        <v>1128</v>
      </c>
      <c r="B6" s="209">
        <v>1.1000000000000001</v>
      </c>
      <c r="C6" s="210" t="s">
        <v>89</v>
      </c>
      <c r="D6" s="140" t="s">
        <v>3</v>
      </c>
      <c r="E6" s="211" t="s">
        <v>560</v>
      </c>
      <c r="F6" s="140" t="s">
        <v>1124</v>
      </c>
      <c r="G6" s="211" t="s">
        <v>724</v>
      </c>
      <c r="H6" s="140"/>
      <c r="I6" s="211" t="s">
        <v>1324</v>
      </c>
      <c r="J6" s="140"/>
      <c r="K6" s="211" t="s">
        <v>1324</v>
      </c>
      <c r="L6" s="212"/>
      <c r="M6" s="212" t="s">
        <v>1395</v>
      </c>
      <c r="N6" s="212" t="s">
        <v>1396</v>
      </c>
    </row>
    <row r="7" spans="1:14" s="155" customFormat="1">
      <c r="A7" s="208" t="s">
        <v>1129</v>
      </c>
      <c r="B7" s="209" t="s">
        <v>1991</v>
      </c>
      <c r="C7" s="210" t="str">
        <f>IF(AND('Client PICS'!I$9="Yes",'Client PICS'!I$12="Yes"),"Yes","No")</f>
        <v>No</v>
      </c>
      <c r="D7" s="140" t="s">
        <v>71</v>
      </c>
      <c r="E7" s="211" t="s">
        <v>318</v>
      </c>
      <c r="F7" s="140" t="s">
        <v>1124</v>
      </c>
      <c r="G7" s="211" t="s">
        <v>320</v>
      </c>
      <c r="H7" s="140"/>
      <c r="I7" s="211" t="s">
        <v>1324</v>
      </c>
      <c r="J7" s="140"/>
      <c r="K7" s="211" t="s">
        <v>1324</v>
      </c>
      <c r="L7" s="212"/>
      <c r="M7" s="212" t="s">
        <v>1395</v>
      </c>
      <c r="N7" s="212" t="s">
        <v>1397</v>
      </c>
    </row>
    <row r="8" spans="1:14" s="155" customFormat="1">
      <c r="A8" s="208" t="s">
        <v>1130</v>
      </c>
      <c r="B8" s="209" t="s">
        <v>1991</v>
      </c>
      <c r="C8" s="210" t="str">
        <f>IF(AND('Client PICS'!I$9="Yes",'Client PICS'!I$12="Yes"),"Yes","No")</f>
        <v>No</v>
      </c>
      <c r="D8" s="140" t="s">
        <v>71</v>
      </c>
      <c r="E8" s="211" t="s">
        <v>318</v>
      </c>
      <c r="F8" s="140" t="s">
        <v>1124</v>
      </c>
      <c r="G8" s="211" t="s">
        <v>320</v>
      </c>
      <c r="H8" s="140"/>
      <c r="I8" s="211" t="s">
        <v>1324</v>
      </c>
      <c r="J8" s="140"/>
      <c r="K8" s="211" t="s">
        <v>1324</v>
      </c>
      <c r="L8" s="212"/>
      <c r="M8" s="212" t="s">
        <v>1395</v>
      </c>
      <c r="N8" s="212" t="s">
        <v>1397</v>
      </c>
    </row>
    <row r="9" spans="1:14" s="155" customFormat="1">
      <c r="A9" s="208" t="s">
        <v>1131</v>
      </c>
      <c r="B9" s="209" t="s">
        <v>1991</v>
      </c>
      <c r="C9" s="210" t="str">
        <f>IF(AND('Client PICS'!I$9="Yes",'Client PICS'!I$12="Yes"),"Yes","No")</f>
        <v>No</v>
      </c>
      <c r="D9" s="140" t="s">
        <v>71</v>
      </c>
      <c r="E9" s="211" t="s">
        <v>318</v>
      </c>
      <c r="F9" s="140" t="s">
        <v>1124</v>
      </c>
      <c r="G9" s="211" t="s">
        <v>320</v>
      </c>
      <c r="H9" s="140"/>
      <c r="I9" s="211" t="s">
        <v>1324</v>
      </c>
      <c r="J9" s="140"/>
      <c r="K9" s="211" t="s">
        <v>1324</v>
      </c>
      <c r="L9" s="212"/>
      <c r="M9" s="212" t="s">
        <v>1395</v>
      </c>
      <c r="N9" s="212" t="s">
        <v>1397</v>
      </c>
    </row>
    <row r="10" spans="1:14" s="155" customFormat="1">
      <c r="A10" s="208" t="s">
        <v>1132</v>
      </c>
      <c r="B10" s="209" t="s">
        <v>912</v>
      </c>
      <c r="C10" s="210" t="s">
        <v>89</v>
      </c>
      <c r="D10" s="140" t="s">
        <v>3</v>
      </c>
      <c r="E10" s="211" t="s">
        <v>559</v>
      </c>
      <c r="F10" s="140"/>
      <c r="G10" s="211" t="s">
        <v>1324</v>
      </c>
      <c r="H10" s="140"/>
      <c r="I10" s="211" t="s">
        <v>1324</v>
      </c>
      <c r="J10" s="140"/>
      <c r="K10" s="211" t="s">
        <v>1324</v>
      </c>
      <c r="L10" s="212"/>
      <c r="M10" s="212" t="s">
        <v>1395</v>
      </c>
      <c r="N10" s="212" t="s">
        <v>1397</v>
      </c>
    </row>
    <row r="11" spans="1:14" s="155" customFormat="1">
      <c r="A11" s="208" t="s">
        <v>1133</v>
      </c>
      <c r="B11" s="209" t="s">
        <v>912</v>
      </c>
      <c r="C11" s="210" t="str">
        <f>IF(AND('Client PICS'!I$9="Yes",'Client PICS'!I$14="Yes"),"Yes","No")</f>
        <v>No</v>
      </c>
      <c r="D11" s="140" t="s">
        <v>71</v>
      </c>
      <c r="E11" s="211" t="s">
        <v>318</v>
      </c>
      <c r="F11" s="140" t="s">
        <v>1124</v>
      </c>
      <c r="G11" s="211" t="s">
        <v>387</v>
      </c>
      <c r="H11" s="140"/>
      <c r="I11" s="211" t="s">
        <v>1324</v>
      </c>
      <c r="J11" s="140"/>
      <c r="K11" s="211" t="s">
        <v>1324</v>
      </c>
      <c r="L11" s="212"/>
      <c r="M11" s="212" t="s">
        <v>1395</v>
      </c>
      <c r="N11" s="212" t="s">
        <v>1397</v>
      </c>
    </row>
    <row r="12" spans="1:14" s="155" customFormat="1">
      <c r="A12" s="208" t="s">
        <v>1134</v>
      </c>
      <c r="B12" s="209">
        <v>1.1000000000000001</v>
      </c>
      <c r="C12" s="210" t="s">
        <v>89</v>
      </c>
      <c r="D12" s="140" t="s">
        <v>3</v>
      </c>
      <c r="E12" s="211" t="s">
        <v>565</v>
      </c>
      <c r="F12" s="140"/>
      <c r="G12" s="211" t="s">
        <v>1324</v>
      </c>
      <c r="H12" s="140"/>
      <c r="I12" s="211" t="s">
        <v>1324</v>
      </c>
      <c r="J12" s="140"/>
      <c r="K12" s="211" t="s">
        <v>1324</v>
      </c>
      <c r="L12" s="212"/>
      <c r="M12" s="212" t="s">
        <v>2</v>
      </c>
      <c r="N12" s="212" t="s">
        <v>1399</v>
      </c>
    </row>
    <row r="13" spans="1:14" s="155" customFormat="1">
      <c r="A13" s="208" t="s">
        <v>1135</v>
      </c>
      <c r="B13" s="209">
        <v>1.1000000000000001</v>
      </c>
      <c r="C13" s="210" t="s">
        <v>89</v>
      </c>
      <c r="D13" s="140" t="s">
        <v>3</v>
      </c>
      <c r="E13" s="211" t="s">
        <v>578</v>
      </c>
      <c r="F13" s="140" t="s">
        <v>1124</v>
      </c>
      <c r="G13" s="211" t="s">
        <v>566</v>
      </c>
      <c r="H13" s="140" t="s">
        <v>1124</v>
      </c>
      <c r="I13" s="211" t="s">
        <v>567</v>
      </c>
      <c r="J13" s="140"/>
      <c r="K13" s="211" t="s">
        <v>1324</v>
      </c>
      <c r="L13" s="212"/>
      <c r="M13" s="212" t="s">
        <v>2</v>
      </c>
      <c r="N13" s="212" t="s">
        <v>1399</v>
      </c>
    </row>
    <row r="14" spans="1:14" s="155" customFormat="1">
      <c r="A14" s="208" t="s">
        <v>1136</v>
      </c>
      <c r="B14" s="209">
        <v>1.1000000000000001</v>
      </c>
      <c r="C14" s="210" t="s">
        <v>89</v>
      </c>
      <c r="D14" s="140" t="s">
        <v>3</v>
      </c>
      <c r="E14" s="211" t="s">
        <v>578</v>
      </c>
      <c r="F14" s="140" t="s">
        <v>1124</v>
      </c>
      <c r="G14" s="211" t="s">
        <v>569</v>
      </c>
      <c r="H14" s="140" t="s">
        <v>1124</v>
      </c>
      <c r="I14" s="211" t="s">
        <v>579</v>
      </c>
      <c r="J14" s="140"/>
      <c r="K14" s="211" t="s">
        <v>1324</v>
      </c>
      <c r="L14" s="212"/>
      <c r="M14" s="212" t="s">
        <v>2</v>
      </c>
      <c r="N14" s="212" t="s">
        <v>1399</v>
      </c>
    </row>
    <row r="15" spans="1:14" s="155" customFormat="1">
      <c r="A15" s="208" t="s">
        <v>1137</v>
      </c>
      <c r="B15" s="209">
        <v>1.1000000000000001</v>
      </c>
      <c r="C15" s="210" t="s">
        <v>89</v>
      </c>
      <c r="D15" s="140" t="s">
        <v>3</v>
      </c>
      <c r="E15" s="211" t="s">
        <v>580</v>
      </c>
      <c r="F15" s="140"/>
      <c r="G15" s="211" t="s">
        <v>1324</v>
      </c>
      <c r="H15" s="140"/>
      <c r="I15" s="211" t="s">
        <v>1324</v>
      </c>
      <c r="J15" s="140"/>
      <c r="K15" s="211" t="s">
        <v>1324</v>
      </c>
      <c r="L15" s="212"/>
      <c r="M15" s="212" t="s">
        <v>2</v>
      </c>
      <c r="N15" s="212" t="s">
        <v>1399</v>
      </c>
    </row>
    <row r="16" spans="1:14" s="155" customFormat="1">
      <c r="A16" s="208" t="s">
        <v>1138</v>
      </c>
      <c r="B16" s="209">
        <v>1.1000000000000001</v>
      </c>
      <c r="C16" s="210" t="s">
        <v>89</v>
      </c>
      <c r="D16" s="140" t="s">
        <v>3</v>
      </c>
      <c r="E16" s="211" t="s">
        <v>578</v>
      </c>
      <c r="F16" s="140"/>
      <c r="G16" s="211" t="s">
        <v>1324</v>
      </c>
      <c r="H16" s="140"/>
      <c r="I16" s="211" t="s">
        <v>1324</v>
      </c>
      <c r="J16" s="140"/>
      <c r="K16" s="211" t="s">
        <v>1324</v>
      </c>
      <c r="L16" s="212"/>
      <c r="M16" s="212" t="s">
        <v>2</v>
      </c>
      <c r="N16" s="212" t="s">
        <v>1399</v>
      </c>
    </row>
    <row r="17" spans="1:14" s="155" customFormat="1">
      <c r="A17" s="208" t="s">
        <v>1139</v>
      </c>
      <c r="B17" s="209" t="s">
        <v>929</v>
      </c>
      <c r="C17" s="210" t="s">
        <v>89</v>
      </c>
      <c r="D17" s="140" t="s">
        <v>3</v>
      </c>
      <c r="E17" s="211" t="s">
        <v>578</v>
      </c>
      <c r="F17" s="140"/>
      <c r="G17" s="211" t="s">
        <v>1324</v>
      </c>
      <c r="H17" s="140"/>
      <c r="I17" s="211" t="s">
        <v>1324</v>
      </c>
      <c r="J17" s="140"/>
      <c r="K17" s="211" t="s">
        <v>1324</v>
      </c>
      <c r="L17" s="212"/>
      <c r="M17" s="212" t="s">
        <v>2</v>
      </c>
      <c r="N17" s="212" t="s">
        <v>1399</v>
      </c>
    </row>
    <row r="18" spans="1:14" s="155" customFormat="1">
      <c r="A18" s="208" t="s">
        <v>1354</v>
      </c>
      <c r="B18" s="209" t="s">
        <v>929</v>
      </c>
      <c r="C18" s="210" t="s">
        <v>89</v>
      </c>
      <c r="D18" s="140" t="s">
        <v>3</v>
      </c>
      <c r="E18" s="211" t="s">
        <v>578</v>
      </c>
      <c r="F18" s="140"/>
      <c r="G18" s="211" t="s">
        <v>1324</v>
      </c>
      <c r="H18" s="140"/>
      <c r="I18" s="211" t="s">
        <v>1324</v>
      </c>
      <c r="J18" s="140"/>
      <c r="K18" s="211" t="s">
        <v>1324</v>
      </c>
      <c r="L18" s="212"/>
      <c r="M18" s="212" t="s">
        <v>2</v>
      </c>
      <c r="N18" s="212" t="s">
        <v>1399</v>
      </c>
    </row>
    <row r="19" spans="1:14" s="155" customFormat="1">
      <c r="A19" s="208" t="s">
        <v>1140</v>
      </c>
      <c r="B19" s="209">
        <v>1.1000000000000001</v>
      </c>
      <c r="C19" s="210" t="s">
        <v>89</v>
      </c>
      <c r="D19" s="140" t="s">
        <v>3</v>
      </c>
      <c r="E19" s="211" t="s">
        <v>581</v>
      </c>
      <c r="F19" s="140"/>
      <c r="G19" s="211" t="s">
        <v>1324</v>
      </c>
      <c r="H19" s="140"/>
      <c r="I19" s="211" t="s">
        <v>1324</v>
      </c>
      <c r="J19" s="140"/>
      <c r="K19" s="211" t="s">
        <v>1324</v>
      </c>
      <c r="L19" s="212"/>
      <c r="M19" s="212" t="s">
        <v>2</v>
      </c>
      <c r="N19" s="212" t="s">
        <v>114</v>
      </c>
    </row>
    <row r="20" spans="1:14" s="155" customFormat="1">
      <c r="A20" s="208" t="s">
        <v>1141</v>
      </c>
      <c r="B20" s="209" t="s">
        <v>1849</v>
      </c>
      <c r="C20" s="210" t="s">
        <v>89</v>
      </c>
      <c r="D20" s="140" t="s">
        <v>3</v>
      </c>
      <c r="E20" s="211" t="s">
        <v>582</v>
      </c>
      <c r="F20" s="140"/>
      <c r="G20" s="211" t="s">
        <v>1324</v>
      </c>
      <c r="H20" s="140"/>
      <c r="I20" s="211" t="s">
        <v>1324</v>
      </c>
      <c r="J20" s="140"/>
      <c r="K20" s="211" t="s">
        <v>1324</v>
      </c>
      <c r="L20" s="212"/>
      <c r="M20" s="212" t="s">
        <v>2</v>
      </c>
      <c r="N20" s="212" t="s">
        <v>114</v>
      </c>
    </row>
    <row r="21" spans="1:14" s="155" customFormat="1">
      <c r="A21" s="208" t="s">
        <v>1142</v>
      </c>
      <c r="B21" s="209" t="s">
        <v>1849</v>
      </c>
      <c r="C21" s="210" t="s">
        <v>89</v>
      </c>
      <c r="D21" s="140" t="s">
        <v>3</v>
      </c>
      <c r="E21" s="211" t="s">
        <v>583</v>
      </c>
      <c r="F21" s="140"/>
      <c r="G21" s="211" t="s">
        <v>1324</v>
      </c>
      <c r="H21" s="140"/>
      <c r="I21" s="211" t="s">
        <v>1324</v>
      </c>
      <c r="J21" s="140"/>
      <c r="K21" s="211" t="s">
        <v>1324</v>
      </c>
      <c r="L21" s="212"/>
      <c r="M21" s="212" t="s">
        <v>2</v>
      </c>
      <c r="N21" s="212" t="s">
        <v>114</v>
      </c>
    </row>
    <row r="22" spans="1:14" s="155" customFormat="1">
      <c r="A22" s="208" t="s">
        <v>1143</v>
      </c>
      <c r="B22" s="209" t="s">
        <v>1849</v>
      </c>
      <c r="C22" s="210" t="s">
        <v>89</v>
      </c>
      <c r="D22" s="140" t="s">
        <v>3</v>
      </c>
      <c r="E22" s="211" t="s">
        <v>341</v>
      </c>
      <c r="F22" s="140"/>
      <c r="G22" s="211" t="s">
        <v>1324</v>
      </c>
      <c r="H22" s="140"/>
      <c r="I22" s="211" t="s">
        <v>1324</v>
      </c>
      <c r="J22" s="140"/>
      <c r="K22" s="211" t="s">
        <v>1324</v>
      </c>
      <c r="L22" s="212"/>
      <c r="M22" s="212" t="s">
        <v>2</v>
      </c>
      <c r="N22" s="212" t="s">
        <v>114</v>
      </c>
    </row>
    <row r="23" spans="1:14" s="155" customFormat="1">
      <c r="A23" s="208" t="s">
        <v>1999</v>
      </c>
      <c r="B23" s="209" t="s">
        <v>1849</v>
      </c>
      <c r="C23" s="210" t="s">
        <v>89</v>
      </c>
      <c r="D23" s="140" t="s">
        <v>3</v>
      </c>
      <c r="E23" s="211" t="s">
        <v>582</v>
      </c>
      <c r="F23" s="140"/>
      <c r="G23" s="211" t="s">
        <v>1324</v>
      </c>
      <c r="H23" s="140"/>
      <c r="I23" s="211" t="s">
        <v>1324</v>
      </c>
      <c r="J23" s="140"/>
      <c r="K23" s="211" t="s">
        <v>1324</v>
      </c>
      <c r="L23" s="212"/>
      <c r="M23" s="212" t="s">
        <v>2</v>
      </c>
      <c r="N23" s="212" t="s">
        <v>114</v>
      </c>
    </row>
    <row r="24" spans="1:14" s="155" customFormat="1">
      <c r="A24" s="208" t="s">
        <v>1144</v>
      </c>
      <c r="B24" s="209">
        <v>1.1000000000000001</v>
      </c>
      <c r="C24" s="210" t="s">
        <v>89</v>
      </c>
      <c r="D24" s="140" t="s">
        <v>3</v>
      </c>
      <c r="E24" s="211" t="s">
        <v>571</v>
      </c>
      <c r="F24" s="140"/>
      <c r="G24" s="211" t="s">
        <v>1324</v>
      </c>
      <c r="H24" s="140"/>
      <c r="I24" s="211" t="s">
        <v>1324</v>
      </c>
      <c r="J24" s="140"/>
      <c r="K24" s="211" t="s">
        <v>1324</v>
      </c>
      <c r="L24" s="212"/>
      <c r="M24" s="212" t="s">
        <v>2</v>
      </c>
      <c r="N24" s="212" t="s">
        <v>1402</v>
      </c>
    </row>
    <row r="25" spans="1:14" s="155" customFormat="1">
      <c r="A25" s="208" t="s">
        <v>1145</v>
      </c>
      <c r="B25" s="209">
        <v>1.1000000000000001</v>
      </c>
      <c r="C25" s="210" t="s">
        <v>89</v>
      </c>
      <c r="D25" s="140" t="s">
        <v>3</v>
      </c>
      <c r="E25" s="211" t="s">
        <v>571</v>
      </c>
      <c r="F25" s="140"/>
      <c r="G25" s="211" t="s">
        <v>1324</v>
      </c>
      <c r="H25" s="140"/>
      <c r="I25" s="211" t="s">
        <v>1324</v>
      </c>
      <c r="J25" s="140"/>
      <c r="K25" s="211" t="s">
        <v>1324</v>
      </c>
      <c r="L25" s="212"/>
      <c r="M25" s="212" t="s">
        <v>2</v>
      </c>
      <c r="N25" s="212" t="s">
        <v>1402</v>
      </c>
    </row>
    <row r="26" spans="1:14" s="155" customFormat="1">
      <c r="A26" s="208" t="s">
        <v>1146</v>
      </c>
      <c r="B26" s="209">
        <v>1.1000000000000001</v>
      </c>
      <c r="C26" s="210" t="str">
        <f>IF('Client PICS'!I$51="Yes","Yes","No")</f>
        <v>No</v>
      </c>
      <c r="D26" s="140" t="s">
        <v>71</v>
      </c>
      <c r="E26" s="211" t="s">
        <v>327</v>
      </c>
      <c r="F26" s="140"/>
      <c r="G26" s="211" t="s">
        <v>1324</v>
      </c>
      <c r="H26" s="140"/>
      <c r="I26" s="211" t="s">
        <v>1324</v>
      </c>
      <c r="J26" s="140"/>
      <c r="K26" s="211" t="s">
        <v>1324</v>
      </c>
      <c r="L26" s="212"/>
      <c r="M26" s="212" t="s">
        <v>2</v>
      </c>
      <c r="N26" s="212" t="s">
        <v>1402</v>
      </c>
    </row>
    <row r="27" spans="1:14" s="155" customFormat="1">
      <c r="A27" s="208" t="s">
        <v>1147</v>
      </c>
      <c r="B27" s="209" t="s">
        <v>1849</v>
      </c>
      <c r="C27" s="210" t="str">
        <f>IF('Client PICS'!I$87="Yes","Yes","No")</f>
        <v>No</v>
      </c>
      <c r="D27" s="140" t="s">
        <v>71</v>
      </c>
      <c r="E27" s="211" t="s">
        <v>345</v>
      </c>
      <c r="F27" s="140"/>
      <c r="G27" s="211" t="s">
        <v>1324</v>
      </c>
      <c r="H27" s="140"/>
      <c r="I27" s="211" t="s">
        <v>1324</v>
      </c>
      <c r="J27" s="140"/>
      <c r="K27" s="211" t="s">
        <v>1324</v>
      </c>
      <c r="L27" s="212"/>
      <c r="M27" s="212" t="s">
        <v>2</v>
      </c>
      <c r="N27" s="212" t="s">
        <v>1402</v>
      </c>
    </row>
    <row r="28" spans="1:14" s="155" customFormat="1">
      <c r="A28" s="208" t="s">
        <v>1148</v>
      </c>
      <c r="B28" s="209" t="s">
        <v>1849</v>
      </c>
      <c r="C28" s="210" t="str">
        <f>IF('Client PICS'!I$87="Yes","Yes","No")</f>
        <v>No</v>
      </c>
      <c r="D28" s="140" t="s">
        <v>71</v>
      </c>
      <c r="E28" s="211" t="s">
        <v>345</v>
      </c>
      <c r="F28" s="140"/>
      <c r="G28" s="211" t="s">
        <v>1324</v>
      </c>
      <c r="H28" s="140"/>
      <c r="I28" s="211" t="s">
        <v>1324</v>
      </c>
      <c r="J28" s="140"/>
      <c r="K28" s="211" t="s">
        <v>1324</v>
      </c>
      <c r="L28" s="212"/>
      <c r="M28" s="212" t="s">
        <v>2</v>
      </c>
      <c r="N28" s="212" t="s">
        <v>1402</v>
      </c>
    </row>
    <row r="29" spans="1:14" s="155" customFormat="1">
      <c r="A29" s="208" t="s">
        <v>2105</v>
      </c>
      <c r="B29" s="209" t="s">
        <v>2104</v>
      </c>
      <c r="C29" s="210" t="str">
        <f>IF('Client PICS'!I$87="Yes","Yes","No")</f>
        <v>No</v>
      </c>
      <c r="D29" s="140" t="s">
        <v>71</v>
      </c>
      <c r="E29" s="211" t="s">
        <v>345</v>
      </c>
      <c r="F29" s="140"/>
      <c r="G29" s="211" t="s">
        <v>1324</v>
      </c>
      <c r="H29" s="140"/>
      <c r="I29" s="211" t="s">
        <v>1324</v>
      </c>
      <c r="J29" s="140"/>
      <c r="K29" s="211" t="s">
        <v>1324</v>
      </c>
      <c r="L29" s="212"/>
      <c r="M29" s="212" t="s">
        <v>2</v>
      </c>
      <c r="N29" s="212" t="s">
        <v>1402</v>
      </c>
    </row>
    <row r="30" spans="1:14" s="155" customFormat="1">
      <c r="A30" s="208" t="s">
        <v>1149</v>
      </c>
      <c r="B30" s="209" t="s">
        <v>1518</v>
      </c>
      <c r="C30" s="210" t="s">
        <v>89</v>
      </c>
      <c r="D30" s="140" t="s">
        <v>3</v>
      </c>
      <c r="E30" s="211" t="s">
        <v>344</v>
      </c>
      <c r="F30" s="140"/>
      <c r="G30" s="211" t="s">
        <v>1324</v>
      </c>
      <c r="H30" s="140"/>
      <c r="I30" s="211" t="s">
        <v>1324</v>
      </c>
      <c r="J30" s="140"/>
      <c r="K30" s="211" t="s">
        <v>1324</v>
      </c>
      <c r="L30" s="212"/>
      <c r="M30" s="212" t="s">
        <v>2</v>
      </c>
      <c r="N30" s="212" t="s">
        <v>1402</v>
      </c>
    </row>
    <row r="31" spans="1:14" s="155" customFormat="1">
      <c r="A31" s="208" t="s">
        <v>1527</v>
      </c>
      <c r="B31" s="209" t="s">
        <v>1849</v>
      </c>
      <c r="C31" s="210" t="str">
        <f>IF(AND('Client PICS'!I$82="Yes",'Client PICS'!I$83="Yes"),"Yes","No")</f>
        <v>No</v>
      </c>
      <c r="D31" s="140" t="s">
        <v>71</v>
      </c>
      <c r="E31" s="211" t="s">
        <v>340</v>
      </c>
      <c r="F31" s="140" t="s">
        <v>1124</v>
      </c>
      <c r="G31" s="138" t="s">
        <v>1339</v>
      </c>
      <c r="H31" s="140"/>
      <c r="I31" s="211" t="s">
        <v>1324</v>
      </c>
      <c r="J31" s="140"/>
      <c r="K31" s="211" t="s">
        <v>1324</v>
      </c>
      <c r="L31" s="212"/>
      <c r="M31" s="212" t="s">
        <v>2</v>
      </c>
      <c r="N31" s="212" t="s">
        <v>1402</v>
      </c>
    </row>
    <row r="32" spans="1:14" s="155" customFormat="1">
      <c r="A32" s="208" t="s">
        <v>1150</v>
      </c>
      <c r="B32" s="209">
        <v>1.1000000000000001</v>
      </c>
      <c r="C32" s="210" t="s">
        <v>89</v>
      </c>
      <c r="D32" s="140" t="s">
        <v>3</v>
      </c>
      <c r="E32" s="211" t="s">
        <v>342</v>
      </c>
      <c r="F32" s="140"/>
      <c r="G32" s="211" t="s">
        <v>1324</v>
      </c>
      <c r="H32" s="140"/>
      <c r="I32" s="211" t="s">
        <v>1324</v>
      </c>
      <c r="J32" s="140"/>
      <c r="K32" s="211" t="s">
        <v>1324</v>
      </c>
      <c r="L32" s="212"/>
      <c r="M32" s="212" t="s">
        <v>2</v>
      </c>
      <c r="N32" s="212" t="s">
        <v>1402</v>
      </c>
    </row>
    <row r="33" spans="1:14" s="155" customFormat="1">
      <c r="A33" s="208" t="s">
        <v>1151</v>
      </c>
      <c r="B33" s="209">
        <v>1.1000000000000001</v>
      </c>
      <c r="C33" s="210" t="s">
        <v>89</v>
      </c>
      <c r="D33" s="140" t="s">
        <v>3</v>
      </c>
      <c r="E33" s="211" t="s">
        <v>575</v>
      </c>
      <c r="F33" s="140"/>
      <c r="G33" s="211" t="s">
        <v>1324</v>
      </c>
      <c r="H33" s="140"/>
      <c r="I33" s="211" t="s">
        <v>1324</v>
      </c>
      <c r="J33" s="140"/>
      <c r="K33" s="211" t="s">
        <v>1324</v>
      </c>
      <c r="L33" s="212"/>
      <c r="M33" s="212" t="s">
        <v>2</v>
      </c>
      <c r="N33" s="212" t="s">
        <v>1402</v>
      </c>
    </row>
    <row r="34" spans="1:14" s="155" customFormat="1">
      <c r="A34" s="208" t="s">
        <v>1152</v>
      </c>
      <c r="B34" s="209">
        <v>1.1000000000000001</v>
      </c>
      <c r="C34" s="210" t="s">
        <v>89</v>
      </c>
      <c r="D34" s="140" t="s">
        <v>3</v>
      </c>
      <c r="E34" s="211" t="s">
        <v>574</v>
      </c>
      <c r="F34" s="140"/>
      <c r="G34" s="211" t="s">
        <v>1324</v>
      </c>
      <c r="H34" s="140"/>
      <c r="I34" s="211" t="s">
        <v>1324</v>
      </c>
      <c r="J34" s="140"/>
      <c r="K34" s="211" t="s">
        <v>1324</v>
      </c>
      <c r="L34" s="212"/>
      <c r="M34" s="212" t="s">
        <v>2</v>
      </c>
      <c r="N34" s="212" t="s">
        <v>1402</v>
      </c>
    </row>
    <row r="35" spans="1:14" s="155" customFormat="1">
      <c r="A35" s="208" t="s">
        <v>1153</v>
      </c>
      <c r="B35" s="209">
        <v>1.1000000000000001</v>
      </c>
      <c r="C35" s="210" t="s">
        <v>89</v>
      </c>
      <c r="D35" s="140" t="s">
        <v>3</v>
      </c>
      <c r="E35" s="211" t="s">
        <v>574</v>
      </c>
      <c r="F35" s="140"/>
      <c r="G35" s="211" t="s">
        <v>1324</v>
      </c>
      <c r="H35" s="140"/>
      <c r="I35" s="211" t="s">
        <v>1324</v>
      </c>
      <c r="J35" s="140"/>
      <c r="K35" s="211" t="s">
        <v>1324</v>
      </c>
      <c r="L35" s="212"/>
      <c r="M35" s="212" t="s">
        <v>2</v>
      </c>
      <c r="N35" s="212" t="s">
        <v>1402</v>
      </c>
    </row>
    <row r="36" spans="1:14" s="155" customFormat="1">
      <c r="A36" s="208" t="s">
        <v>1353</v>
      </c>
      <c r="B36" s="209" t="s">
        <v>1849</v>
      </c>
      <c r="C36" s="210" t="s">
        <v>89</v>
      </c>
      <c r="D36" s="140" t="s">
        <v>3</v>
      </c>
      <c r="E36" s="211" t="s">
        <v>584</v>
      </c>
      <c r="F36" s="140"/>
      <c r="G36" s="211" t="s">
        <v>1324</v>
      </c>
      <c r="H36" s="140"/>
      <c r="I36" s="211" t="s">
        <v>1324</v>
      </c>
      <c r="J36" s="140"/>
      <c r="K36" s="211" t="s">
        <v>1324</v>
      </c>
      <c r="L36" s="212"/>
      <c r="M36" s="212" t="s">
        <v>2</v>
      </c>
      <c r="N36" s="212" t="s">
        <v>1402</v>
      </c>
    </row>
    <row r="37" spans="1:14" s="155" customFormat="1">
      <c r="A37" s="208" t="s">
        <v>1154</v>
      </c>
      <c r="B37" s="209">
        <v>1.1000000000000001</v>
      </c>
      <c r="C37" s="210" t="str">
        <f>IF('Client PICS'!I$75="Yes","Yes","No")</f>
        <v>No</v>
      </c>
      <c r="D37" s="140" t="s">
        <v>71</v>
      </c>
      <c r="E37" s="211" t="s">
        <v>388</v>
      </c>
      <c r="F37" s="140" t="s">
        <v>1313</v>
      </c>
      <c r="G37" s="211" t="s">
        <v>389</v>
      </c>
      <c r="H37" s="140"/>
      <c r="I37" s="211" t="s">
        <v>1324</v>
      </c>
      <c r="J37" s="140"/>
      <c r="K37" s="211" t="s">
        <v>1324</v>
      </c>
      <c r="L37" s="212"/>
      <c r="M37" s="212" t="s">
        <v>2</v>
      </c>
      <c r="N37" s="212" t="s">
        <v>1403</v>
      </c>
    </row>
    <row r="38" spans="1:14" s="155" customFormat="1">
      <c r="A38" s="208" t="s">
        <v>1155</v>
      </c>
      <c r="B38" s="209">
        <v>1.1000000000000001</v>
      </c>
      <c r="C38" s="210" t="str">
        <f>IF('Client PICS'!I$75="Yes","Yes","No")</f>
        <v>No</v>
      </c>
      <c r="D38" s="140" t="s">
        <v>71</v>
      </c>
      <c r="E38" s="211" t="s">
        <v>321</v>
      </c>
      <c r="F38" s="140"/>
      <c r="G38" s="211" t="s">
        <v>1324</v>
      </c>
      <c r="H38" s="140"/>
      <c r="I38" s="211" t="s">
        <v>1324</v>
      </c>
      <c r="J38" s="140"/>
      <c r="K38" s="211" t="s">
        <v>1324</v>
      </c>
      <c r="L38" s="212"/>
      <c r="M38" s="212" t="s">
        <v>2</v>
      </c>
      <c r="N38" s="212" t="s">
        <v>1403</v>
      </c>
    </row>
    <row r="39" spans="1:14" s="155" customFormat="1">
      <c r="A39" s="208" t="s">
        <v>1156</v>
      </c>
      <c r="B39" s="209">
        <v>1.1000000000000001</v>
      </c>
      <c r="C39" s="210" t="str">
        <f>IF('Client PICS'!I$75="Yes","Yes","No")</f>
        <v>No</v>
      </c>
      <c r="D39" s="140" t="s">
        <v>71</v>
      </c>
      <c r="E39" s="211" t="s">
        <v>389</v>
      </c>
      <c r="F39" s="140" t="s">
        <v>1313</v>
      </c>
      <c r="G39" s="211" t="s">
        <v>388</v>
      </c>
      <c r="H39" s="140"/>
      <c r="I39" s="211" t="s">
        <v>1324</v>
      </c>
      <c r="J39" s="140"/>
      <c r="K39" s="211" t="s">
        <v>1324</v>
      </c>
      <c r="L39" s="212"/>
      <c r="M39" s="212" t="s">
        <v>2</v>
      </c>
      <c r="N39" s="212" t="s">
        <v>1403</v>
      </c>
    </row>
    <row r="40" spans="1:14" s="155" customFormat="1">
      <c r="A40" s="208" t="s">
        <v>1157</v>
      </c>
      <c r="B40" s="209">
        <v>1.1000000000000001</v>
      </c>
      <c r="C40" s="210" t="str">
        <f>IF('Client PICS'!I$34="Yes","Yes","No")</f>
        <v>No</v>
      </c>
      <c r="D40" s="140" t="s">
        <v>71</v>
      </c>
      <c r="E40" s="211" t="s">
        <v>322</v>
      </c>
      <c r="F40" s="140"/>
      <c r="G40" s="211" t="s">
        <v>1324</v>
      </c>
      <c r="H40" s="140"/>
      <c r="I40" s="211" t="s">
        <v>1324</v>
      </c>
      <c r="J40" s="140"/>
      <c r="K40" s="211" t="s">
        <v>1324</v>
      </c>
      <c r="L40" s="212"/>
      <c r="M40" s="212" t="s">
        <v>2</v>
      </c>
      <c r="N40" s="212" t="s">
        <v>1403</v>
      </c>
    </row>
    <row r="41" spans="1:14" s="155" customFormat="1">
      <c r="A41" s="208" t="s">
        <v>1158</v>
      </c>
      <c r="B41" s="209">
        <v>1.1000000000000001</v>
      </c>
      <c r="C41" s="210" t="str">
        <f>IF('Client PICS'!I$37="Yes","Yes","No")</f>
        <v>No</v>
      </c>
      <c r="D41" s="140" t="s">
        <v>71</v>
      </c>
      <c r="E41" s="211" t="s">
        <v>323</v>
      </c>
      <c r="F41" s="140"/>
      <c r="G41" s="211" t="s">
        <v>1324</v>
      </c>
      <c r="H41" s="140"/>
      <c r="I41" s="211" t="s">
        <v>1324</v>
      </c>
      <c r="J41" s="140"/>
      <c r="K41" s="211" t="s">
        <v>1324</v>
      </c>
      <c r="L41" s="212"/>
      <c r="M41" s="212" t="s">
        <v>2</v>
      </c>
      <c r="N41" s="212" t="s">
        <v>1403</v>
      </c>
    </row>
    <row r="42" spans="1:14" s="155" customFormat="1">
      <c r="A42" s="208" t="s">
        <v>1159</v>
      </c>
      <c r="B42" s="209">
        <v>1.1000000000000001</v>
      </c>
      <c r="C42" s="210" t="str">
        <f>IF('Client PICS'!I$40="Yes","Yes","No")</f>
        <v>No</v>
      </c>
      <c r="D42" s="140" t="s">
        <v>71</v>
      </c>
      <c r="E42" s="211" t="s">
        <v>324</v>
      </c>
      <c r="F42" s="140"/>
      <c r="G42" s="211" t="s">
        <v>1324</v>
      </c>
      <c r="H42" s="140"/>
      <c r="I42" s="211" t="s">
        <v>1324</v>
      </c>
      <c r="J42" s="140"/>
      <c r="K42" s="211" t="s">
        <v>1324</v>
      </c>
      <c r="L42" s="212"/>
      <c r="M42" s="212" t="s">
        <v>2</v>
      </c>
      <c r="N42" s="212" t="s">
        <v>1403</v>
      </c>
    </row>
    <row r="43" spans="1:14" s="155" customFormat="1">
      <c r="A43" s="208" t="s">
        <v>1160</v>
      </c>
      <c r="B43" s="209">
        <v>1.1000000000000001</v>
      </c>
      <c r="C43" s="210" t="str">
        <f>IF('Client PICS'!I$43="Yes","Yes","No")</f>
        <v>No</v>
      </c>
      <c r="D43" s="140" t="s">
        <v>71</v>
      </c>
      <c r="E43" s="211" t="s">
        <v>325</v>
      </c>
      <c r="F43" s="140"/>
      <c r="G43" s="211" t="s">
        <v>1324</v>
      </c>
      <c r="H43" s="140"/>
      <c r="I43" s="211" t="s">
        <v>1324</v>
      </c>
      <c r="J43" s="140"/>
      <c r="K43" s="211" t="s">
        <v>1324</v>
      </c>
      <c r="L43" s="212"/>
      <c r="M43" s="212" t="s">
        <v>2</v>
      </c>
      <c r="N43" s="212" t="s">
        <v>1403</v>
      </c>
    </row>
    <row r="44" spans="1:14" s="155" customFormat="1">
      <c r="A44" s="208" t="s">
        <v>1161</v>
      </c>
      <c r="B44" s="209">
        <v>1.1000000000000001</v>
      </c>
      <c r="C44" s="210" t="str">
        <f>IF('Client PICS'!I$46="Yes","Yes","No")</f>
        <v>No</v>
      </c>
      <c r="D44" s="140" t="s">
        <v>71</v>
      </c>
      <c r="E44" s="211" t="s">
        <v>326</v>
      </c>
      <c r="F44" s="140"/>
      <c r="G44" s="211" t="s">
        <v>1324</v>
      </c>
      <c r="H44" s="140"/>
      <c r="I44" s="211" t="s">
        <v>1324</v>
      </c>
      <c r="J44" s="140"/>
      <c r="K44" s="211" t="s">
        <v>1324</v>
      </c>
      <c r="L44" s="212"/>
      <c r="M44" s="212" t="s">
        <v>2</v>
      </c>
      <c r="N44" s="212" t="s">
        <v>1403</v>
      </c>
    </row>
    <row r="45" spans="1:14" s="155" customFormat="1">
      <c r="A45" s="208" t="s">
        <v>1545</v>
      </c>
      <c r="B45" s="209" t="s">
        <v>1518</v>
      </c>
      <c r="C45" s="210" t="str">
        <f>IF('Client PICS'!I$53="Yes","Yes","No")</f>
        <v>No</v>
      </c>
      <c r="D45" s="140" t="s">
        <v>71</v>
      </c>
      <c r="E45" s="211" t="s">
        <v>328</v>
      </c>
      <c r="F45" s="140"/>
      <c r="G45" s="211" t="s">
        <v>1324</v>
      </c>
      <c r="H45" s="140"/>
      <c r="I45" s="211" t="s">
        <v>1324</v>
      </c>
      <c r="J45" s="140"/>
      <c r="K45" s="211" t="s">
        <v>1324</v>
      </c>
      <c r="L45" s="212"/>
      <c r="M45" s="212" t="s">
        <v>2</v>
      </c>
      <c r="N45" s="212" t="s">
        <v>1402</v>
      </c>
    </row>
    <row r="46" spans="1:14" s="155" customFormat="1">
      <c r="A46" s="208" t="s">
        <v>1537</v>
      </c>
      <c r="B46" s="209" t="s">
        <v>1518</v>
      </c>
      <c r="C46" s="210" t="str">
        <f>IF(AND('Client PICS'!I$25="Yes",'Client PICS'!I$53="Yes"),"Yes","No")</f>
        <v>No</v>
      </c>
      <c r="D46" s="140" t="s">
        <v>71</v>
      </c>
      <c r="E46" s="211" t="s">
        <v>388</v>
      </c>
      <c r="F46" s="140" t="s">
        <v>1124</v>
      </c>
      <c r="G46" s="211" t="s">
        <v>328</v>
      </c>
      <c r="H46" s="140"/>
      <c r="I46" s="211"/>
      <c r="J46" s="140"/>
      <c r="K46" s="211" t="s">
        <v>1324</v>
      </c>
      <c r="L46" s="212"/>
      <c r="M46" s="212" t="s">
        <v>2</v>
      </c>
      <c r="N46" s="212" t="s">
        <v>1403</v>
      </c>
    </row>
    <row r="47" spans="1:14" s="155" customFormat="1">
      <c r="A47" s="208" t="s">
        <v>1538</v>
      </c>
      <c r="B47" s="209" t="s">
        <v>1518</v>
      </c>
      <c r="C47" s="210" t="str">
        <f>IF(AND('Client PICS'!I$28="Yes",'Client PICS'!I$53="Yes"),"Yes","No")</f>
        <v>No</v>
      </c>
      <c r="D47" s="140" t="s">
        <v>71</v>
      </c>
      <c r="E47" s="211" t="s">
        <v>321</v>
      </c>
      <c r="F47" s="140" t="s">
        <v>1124</v>
      </c>
      <c r="G47" s="211" t="s">
        <v>328</v>
      </c>
      <c r="H47" s="140"/>
      <c r="I47" s="211" t="s">
        <v>1324</v>
      </c>
      <c r="J47" s="140"/>
      <c r="K47" s="211" t="s">
        <v>1324</v>
      </c>
      <c r="L47" s="212"/>
      <c r="M47" s="212" t="s">
        <v>2</v>
      </c>
      <c r="N47" s="212" t="s">
        <v>1403</v>
      </c>
    </row>
    <row r="48" spans="1:14" s="155" customFormat="1">
      <c r="A48" s="208" t="s">
        <v>1539</v>
      </c>
      <c r="B48" s="209" t="s">
        <v>1518</v>
      </c>
      <c r="C48" s="210" t="str">
        <f>IF(AND('Client PICS'!I$31="Yes",'Client PICS'!I$53="Yes"),"Yes","No")</f>
        <v>No</v>
      </c>
      <c r="D48" s="140" t="s">
        <v>71</v>
      </c>
      <c r="E48" s="211" t="s">
        <v>389</v>
      </c>
      <c r="F48" s="140" t="s">
        <v>1124</v>
      </c>
      <c r="G48" s="211" t="s">
        <v>328</v>
      </c>
      <c r="H48" s="140"/>
      <c r="I48" s="211"/>
      <c r="J48" s="140"/>
      <c r="K48" s="211" t="s">
        <v>1324</v>
      </c>
      <c r="L48" s="212"/>
      <c r="M48" s="212" t="s">
        <v>2</v>
      </c>
      <c r="N48" s="212" t="s">
        <v>1403</v>
      </c>
    </row>
    <row r="49" spans="1:14" s="155" customFormat="1">
      <c r="A49" s="208" t="s">
        <v>1540</v>
      </c>
      <c r="B49" s="209" t="s">
        <v>1518</v>
      </c>
      <c r="C49" s="210" t="str">
        <f>IF(AND('Client PICS'!I$34="Yes",'Client PICS'!I$53="Yes"),"Yes","No")</f>
        <v>No</v>
      </c>
      <c r="D49" s="140" t="s">
        <v>71</v>
      </c>
      <c r="E49" s="211" t="s">
        <v>322</v>
      </c>
      <c r="F49" s="140" t="s">
        <v>1124</v>
      </c>
      <c r="G49" s="211" t="s">
        <v>328</v>
      </c>
      <c r="H49" s="140"/>
      <c r="I49" s="211" t="s">
        <v>1324</v>
      </c>
      <c r="J49" s="140"/>
      <c r="K49" s="211" t="s">
        <v>1324</v>
      </c>
      <c r="L49" s="212"/>
      <c r="M49" s="212" t="s">
        <v>2</v>
      </c>
      <c r="N49" s="212" t="s">
        <v>1403</v>
      </c>
    </row>
    <row r="50" spans="1:14" s="155" customFormat="1">
      <c r="A50" s="208" t="s">
        <v>1541</v>
      </c>
      <c r="B50" s="209" t="s">
        <v>1518</v>
      </c>
      <c r="C50" s="210" t="str">
        <f>IF(AND('Client PICS'!I$37="Yes",'Client PICS'!I$53="Yes"),"Yes","No")</f>
        <v>No</v>
      </c>
      <c r="D50" s="140" t="s">
        <v>71</v>
      </c>
      <c r="E50" s="211" t="s">
        <v>323</v>
      </c>
      <c r="F50" s="140" t="s">
        <v>1124</v>
      </c>
      <c r="G50" s="211" t="s">
        <v>328</v>
      </c>
      <c r="H50" s="140"/>
      <c r="I50" s="211" t="s">
        <v>1324</v>
      </c>
      <c r="J50" s="140"/>
      <c r="K50" s="211" t="s">
        <v>1324</v>
      </c>
      <c r="L50" s="212"/>
      <c r="M50" s="212" t="s">
        <v>2</v>
      </c>
      <c r="N50" s="212" t="s">
        <v>1403</v>
      </c>
    </row>
    <row r="51" spans="1:14" s="155" customFormat="1">
      <c r="A51" s="208" t="s">
        <v>1542</v>
      </c>
      <c r="B51" s="209" t="s">
        <v>1518</v>
      </c>
      <c r="C51" s="210" t="str">
        <f>IF(AND('Client PICS'!I$40="Yes",'Client PICS'!I$53="Yes"),"Yes","No")</f>
        <v>No</v>
      </c>
      <c r="D51" s="140" t="s">
        <v>71</v>
      </c>
      <c r="E51" s="211" t="s">
        <v>324</v>
      </c>
      <c r="F51" s="140" t="s">
        <v>1124</v>
      </c>
      <c r="G51" s="211" t="s">
        <v>328</v>
      </c>
      <c r="H51" s="140"/>
      <c r="I51" s="211" t="s">
        <v>1324</v>
      </c>
      <c r="J51" s="140"/>
      <c r="K51" s="211" t="s">
        <v>1324</v>
      </c>
      <c r="L51" s="212"/>
      <c r="M51" s="212" t="s">
        <v>2</v>
      </c>
      <c r="N51" s="212" t="s">
        <v>1403</v>
      </c>
    </row>
    <row r="52" spans="1:14" s="155" customFormat="1">
      <c r="A52" s="208" t="s">
        <v>1543</v>
      </c>
      <c r="B52" s="209" t="s">
        <v>1518</v>
      </c>
      <c r="C52" s="210" t="str">
        <f>IF(AND('Client PICS'!I$43="Yes",'Client PICS'!I$53="Yes"),"Yes","No")</f>
        <v>No</v>
      </c>
      <c r="D52" s="140" t="s">
        <v>71</v>
      </c>
      <c r="E52" s="211" t="s">
        <v>325</v>
      </c>
      <c r="F52" s="140" t="s">
        <v>1124</v>
      </c>
      <c r="G52" s="211" t="s">
        <v>328</v>
      </c>
      <c r="H52" s="140"/>
      <c r="I52" s="211" t="s">
        <v>1324</v>
      </c>
      <c r="J52" s="140"/>
      <c r="K52" s="211" t="s">
        <v>1324</v>
      </c>
      <c r="L52" s="212"/>
      <c r="M52" s="212" t="s">
        <v>2</v>
      </c>
      <c r="N52" s="212" t="s">
        <v>1403</v>
      </c>
    </row>
    <row r="53" spans="1:14" s="155" customFormat="1">
      <c r="A53" s="208" t="s">
        <v>1544</v>
      </c>
      <c r="B53" s="209" t="s">
        <v>1518</v>
      </c>
      <c r="C53" s="210" t="str">
        <f>IF(AND('Client PICS'!I$46="Yes",'Client PICS'!I$53="Yes"),"Yes","No")</f>
        <v>No</v>
      </c>
      <c r="D53" s="140" t="s">
        <v>71</v>
      </c>
      <c r="E53" s="211" t="s">
        <v>326</v>
      </c>
      <c r="F53" s="140" t="s">
        <v>1124</v>
      </c>
      <c r="G53" s="211" t="s">
        <v>328</v>
      </c>
      <c r="H53" s="140"/>
      <c r="I53" s="211" t="s">
        <v>1324</v>
      </c>
      <c r="J53" s="140"/>
      <c r="K53" s="211" t="s">
        <v>1324</v>
      </c>
      <c r="L53" s="212"/>
      <c r="M53" s="212" t="s">
        <v>2</v>
      </c>
      <c r="N53" s="212" t="s">
        <v>1403</v>
      </c>
    </row>
    <row r="54" spans="1:14" s="155" customFormat="1">
      <c r="A54" s="208" t="s">
        <v>1162</v>
      </c>
      <c r="B54" s="209">
        <v>1.1000000000000001</v>
      </c>
      <c r="C54" s="210" t="str">
        <f>IF('Client PICS'!I$54="Yes","Yes","No")</f>
        <v>No</v>
      </c>
      <c r="D54" s="140" t="s">
        <v>71</v>
      </c>
      <c r="E54" s="211" t="s">
        <v>329</v>
      </c>
      <c r="F54" s="140"/>
      <c r="G54" s="211" t="s">
        <v>1324</v>
      </c>
      <c r="H54" s="140"/>
      <c r="I54" s="211" t="s">
        <v>1324</v>
      </c>
      <c r="J54" s="140"/>
      <c r="K54" s="211" t="s">
        <v>1324</v>
      </c>
      <c r="L54" s="212"/>
      <c r="M54" s="212" t="s">
        <v>2</v>
      </c>
      <c r="N54" s="212" t="s">
        <v>1404</v>
      </c>
    </row>
    <row r="55" spans="1:14" s="155" customFormat="1">
      <c r="A55" s="208" t="s">
        <v>1163</v>
      </c>
      <c r="B55" s="209">
        <v>1.1000000000000001</v>
      </c>
      <c r="C55" s="210" t="str">
        <f>IF('Client PICS'!I$54="Yes","Yes","No")</f>
        <v>No</v>
      </c>
      <c r="D55" s="140" t="s">
        <v>71</v>
      </c>
      <c r="E55" s="211" t="s">
        <v>329</v>
      </c>
      <c r="F55" s="140"/>
      <c r="G55" s="211" t="s">
        <v>1324</v>
      </c>
      <c r="H55" s="140"/>
      <c r="I55" s="211" t="s">
        <v>1324</v>
      </c>
      <c r="J55" s="140"/>
      <c r="K55" s="211" t="s">
        <v>1324</v>
      </c>
      <c r="L55" s="212"/>
      <c r="M55" s="212" t="s">
        <v>2</v>
      </c>
      <c r="N55" s="212" t="s">
        <v>1404</v>
      </c>
    </row>
    <row r="56" spans="1:14" s="155" customFormat="1">
      <c r="A56" s="208" t="s">
        <v>1164</v>
      </c>
      <c r="B56" s="209" t="s">
        <v>1849</v>
      </c>
      <c r="C56" s="210" t="str">
        <f>IF('Client PICS'!I$59="Yes","Yes","No")</f>
        <v>No</v>
      </c>
      <c r="D56" s="140" t="s">
        <v>71</v>
      </c>
      <c r="E56" s="211" t="s">
        <v>488</v>
      </c>
      <c r="F56" s="140"/>
      <c r="G56" s="211" t="s">
        <v>1324</v>
      </c>
      <c r="H56" s="140"/>
      <c r="I56" s="211" t="s">
        <v>1324</v>
      </c>
      <c r="J56" s="140"/>
      <c r="K56" s="211" t="s">
        <v>1324</v>
      </c>
      <c r="L56" s="212"/>
      <c r="M56" s="212" t="s">
        <v>2</v>
      </c>
      <c r="N56" s="212" t="s">
        <v>1405</v>
      </c>
    </row>
    <row r="57" spans="1:14" s="155" customFormat="1">
      <c r="A57" s="208" t="s">
        <v>1165</v>
      </c>
      <c r="B57" s="209">
        <v>1.1000000000000001</v>
      </c>
      <c r="C57" s="210" t="str">
        <f>IF('Client PICS'!I$60="Yes","Yes","No")</f>
        <v>No</v>
      </c>
      <c r="D57" s="140" t="s">
        <v>71</v>
      </c>
      <c r="E57" s="211" t="s">
        <v>331</v>
      </c>
      <c r="F57" s="140"/>
      <c r="G57" s="211" t="s">
        <v>1324</v>
      </c>
      <c r="H57" s="140"/>
      <c r="I57" s="211" t="s">
        <v>1324</v>
      </c>
      <c r="J57" s="140"/>
      <c r="K57" s="211" t="s">
        <v>1324</v>
      </c>
      <c r="L57" s="212"/>
      <c r="M57" s="212" t="s">
        <v>2</v>
      </c>
      <c r="N57" s="212" t="s">
        <v>1405</v>
      </c>
    </row>
    <row r="58" spans="1:14" s="155" customFormat="1">
      <c r="A58" s="208" t="s">
        <v>1166</v>
      </c>
      <c r="B58" s="209">
        <v>1.1000000000000001</v>
      </c>
      <c r="C58" s="210" t="str">
        <f>IF('Client PICS'!I$60="Yes","Yes","No")</f>
        <v>No</v>
      </c>
      <c r="D58" s="140" t="s">
        <v>71</v>
      </c>
      <c r="E58" s="211" t="s">
        <v>331</v>
      </c>
      <c r="F58" s="140"/>
      <c r="G58" s="211" t="s">
        <v>1324</v>
      </c>
      <c r="H58" s="140"/>
      <c r="I58" s="211" t="s">
        <v>1324</v>
      </c>
      <c r="J58" s="140"/>
      <c r="K58" s="211" t="s">
        <v>1324</v>
      </c>
      <c r="L58" s="212"/>
      <c r="M58" s="212" t="s">
        <v>2</v>
      </c>
      <c r="N58" s="212" t="s">
        <v>1405</v>
      </c>
    </row>
    <row r="59" spans="1:14" s="155" customFormat="1">
      <c r="A59" s="208" t="s">
        <v>1167</v>
      </c>
      <c r="B59" s="209">
        <v>1.1000000000000001</v>
      </c>
      <c r="C59" s="210" t="str">
        <f>IF('Client PICS'!I$61="Yes","Yes","No")</f>
        <v>No</v>
      </c>
      <c r="D59" s="140" t="s">
        <v>71</v>
      </c>
      <c r="E59" s="211" t="s">
        <v>332</v>
      </c>
      <c r="F59" s="140"/>
      <c r="G59" s="211" t="s">
        <v>1324</v>
      </c>
      <c r="H59" s="140"/>
      <c r="I59" s="211" t="s">
        <v>1324</v>
      </c>
      <c r="J59" s="140"/>
      <c r="K59" s="211" t="s">
        <v>1324</v>
      </c>
      <c r="L59" s="212"/>
      <c r="M59" s="212" t="s">
        <v>2</v>
      </c>
      <c r="N59" s="212" t="s">
        <v>1405</v>
      </c>
    </row>
    <row r="60" spans="1:14" s="155" customFormat="1">
      <c r="A60" s="208" t="s">
        <v>1168</v>
      </c>
      <c r="B60" s="209">
        <v>1.1000000000000001</v>
      </c>
      <c r="C60" s="210" t="str">
        <f>IF('Client PICS'!I$61="Yes","Yes","No")</f>
        <v>No</v>
      </c>
      <c r="D60" s="140" t="s">
        <v>71</v>
      </c>
      <c r="E60" s="211" t="s">
        <v>332</v>
      </c>
      <c r="F60" s="140"/>
      <c r="G60" s="211" t="s">
        <v>1324</v>
      </c>
      <c r="H60" s="140"/>
      <c r="I60" s="211" t="s">
        <v>1324</v>
      </c>
      <c r="J60" s="140"/>
      <c r="K60" s="211" t="s">
        <v>1324</v>
      </c>
      <c r="L60" s="212"/>
      <c r="M60" s="212" t="s">
        <v>2</v>
      </c>
      <c r="N60" s="212" t="s">
        <v>1405</v>
      </c>
    </row>
    <row r="61" spans="1:14" s="155" customFormat="1">
      <c r="A61" s="208" t="s">
        <v>1169</v>
      </c>
      <c r="B61" s="209">
        <v>1.1000000000000001</v>
      </c>
      <c r="C61" s="210" t="str">
        <f>IF('Client PICS'!I$62="Yes","Yes","No")</f>
        <v>No</v>
      </c>
      <c r="D61" s="140" t="s">
        <v>71</v>
      </c>
      <c r="E61" s="211" t="s">
        <v>333</v>
      </c>
      <c r="F61" s="140"/>
      <c r="G61" s="211" t="s">
        <v>1324</v>
      </c>
      <c r="H61" s="140"/>
      <c r="I61" s="211" t="s">
        <v>1324</v>
      </c>
      <c r="J61" s="140"/>
      <c r="K61" s="211" t="s">
        <v>1324</v>
      </c>
      <c r="L61" s="212"/>
      <c r="M61" s="212" t="s">
        <v>2</v>
      </c>
      <c r="N61" s="212" t="s">
        <v>1405</v>
      </c>
    </row>
    <row r="62" spans="1:14" s="155" customFormat="1">
      <c r="A62" s="208" t="s">
        <v>1170</v>
      </c>
      <c r="B62" s="209">
        <v>1.1000000000000001</v>
      </c>
      <c r="C62" s="210" t="str">
        <f>IF('Client PICS'!I$62="Yes","Yes","No")</f>
        <v>No</v>
      </c>
      <c r="D62" s="140" t="s">
        <v>71</v>
      </c>
      <c r="E62" s="211" t="s">
        <v>333</v>
      </c>
      <c r="F62" s="140"/>
      <c r="G62" s="211" t="s">
        <v>1324</v>
      </c>
      <c r="H62" s="140"/>
      <c r="I62" s="211" t="s">
        <v>1324</v>
      </c>
      <c r="J62" s="140"/>
      <c r="K62" s="211" t="s">
        <v>1324</v>
      </c>
      <c r="L62" s="212"/>
      <c r="M62" s="212" t="s">
        <v>2</v>
      </c>
      <c r="N62" s="212" t="s">
        <v>1405</v>
      </c>
    </row>
    <row r="63" spans="1:14" s="155" customFormat="1">
      <c r="A63" s="208" t="s">
        <v>1171</v>
      </c>
      <c r="B63" s="209">
        <v>1.1000000000000001</v>
      </c>
      <c r="C63" s="210" t="str">
        <f>IF('Client PICS'!I$63="Yes","Yes","No")</f>
        <v>No</v>
      </c>
      <c r="D63" s="140" t="s">
        <v>71</v>
      </c>
      <c r="E63" s="211" t="s">
        <v>334</v>
      </c>
      <c r="F63" s="140"/>
      <c r="G63" s="211" t="s">
        <v>1324</v>
      </c>
      <c r="H63" s="140"/>
      <c r="I63" s="211" t="s">
        <v>1324</v>
      </c>
      <c r="J63" s="140"/>
      <c r="K63" s="211" t="s">
        <v>1324</v>
      </c>
      <c r="L63" s="212"/>
      <c r="M63" s="212" t="s">
        <v>2</v>
      </c>
      <c r="N63" s="212" t="s">
        <v>1405</v>
      </c>
    </row>
    <row r="64" spans="1:14" s="155" customFormat="1">
      <c r="A64" s="208" t="s">
        <v>1172</v>
      </c>
      <c r="B64" s="209">
        <v>1.1000000000000001</v>
      </c>
      <c r="C64" s="210" t="str">
        <f>IF('Client PICS'!I$63="Yes","Yes","No")</f>
        <v>No</v>
      </c>
      <c r="D64" s="140" t="s">
        <v>71</v>
      </c>
      <c r="E64" s="211" t="s">
        <v>334</v>
      </c>
      <c r="F64" s="140"/>
      <c r="G64" s="211" t="s">
        <v>1324</v>
      </c>
      <c r="H64" s="140"/>
      <c r="I64" s="211" t="s">
        <v>1324</v>
      </c>
      <c r="J64" s="140"/>
      <c r="K64" s="211" t="s">
        <v>1324</v>
      </c>
      <c r="L64" s="212"/>
      <c r="M64" s="212" t="s">
        <v>2</v>
      </c>
      <c r="N64" s="212" t="s">
        <v>1405</v>
      </c>
    </row>
    <row r="65" spans="1:14" s="155" customFormat="1">
      <c r="A65" s="208" t="s">
        <v>1173</v>
      </c>
      <c r="B65" s="209">
        <v>1.1000000000000001</v>
      </c>
      <c r="C65" s="210" t="str">
        <f>IF('Client PICS'!I$64="Yes","Yes","No")</f>
        <v>No</v>
      </c>
      <c r="D65" s="140" t="s">
        <v>71</v>
      </c>
      <c r="E65" s="211" t="s">
        <v>335</v>
      </c>
      <c r="F65" s="140"/>
      <c r="G65" s="211" t="s">
        <v>1324</v>
      </c>
      <c r="H65" s="140"/>
      <c r="I65" s="211" t="s">
        <v>1324</v>
      </c>
      <c r="J65" s="140"/>
      <c r="K65" s="211" t="s">
        <v>1324</v>
      </c>
      <c r="L65" s="212"/>
      <c r="M65" s="212" t="s">
        <v>2</v>
      </c>
      <c r="N65" s="212" t="s">
        <v>1405</v>
      </c>
    </row>
    <row r="66" spans="1:14" s="155" customFormat="1">
      <c r="A66" s="208" t="s">
        <v>1174</v>
      </c>
      <c r="B66" s="209">
        <v>1.1000000000000001</v>
      </c>
      <c r="C66" s="210" t="str">
        <f>IF('Client PICS'!I$64="Yes","Yes","No")</f>
        <v>No</v>
      </c>
      <c r="D66" s="140" t="s">
        <v>71</v>
      </c>
      <c r="E66" s="211" t="s">
        <v>335</v>
      </c>
      <c r="F66" s="140"/>
      <c r="G66" s="211" t="s">
        <v>1324</v>
      </c>
      <c r="H66" s="140"/>
      <c r="I66" s="211" t="s">
        <v>1324</v>
      </c>
      <c r="J66" s="140"/>
      <c r="K66" s="211" t="s">
        <v>1324</v>
      </c>
      <c r="L66" s="212"/>
      <c r="M66" s="212" t="s">
        <v>2</v>
      </c>
      <c r="N66" s="212" t="s">
        <v>1405</v>
      </c>
    </row>
    <row r="67" spans="1:14" s="155" customFormat="1">
      <c r="A67" s="208" t="s">
        <v>1175</v>
      </c>
      <c r="B67" s="209">
        <v>1.1000000000000001</v>
      </c>
      <c r="C67" s="210" t="str">
        <f>IF('Client PICS'!I$90="Yes","Yes","No")</f>
        <v>No</v>
      </c>
      <c r="D67" s="140" t="s">
        <v>71</v>
      </c>
      <c r="E67" s="211" t="s">
        <v>390</v>
      </c>
      <c r="F67" s="140"/>
      <c r="G67" s="211" t="s">
        <v>1324</v>
      </c>
      <c r="H67" s="140"/>
      <c r="I67" s="211" t="s">
        <v>1324</v>
      </c>
      <c r="J67" s="140"/>
      <c r="K67" s="211" t="s">
        <v>1324</v>
      </c>
      <c r="L67" s="212"/>
      <c r="M67" s="212" t="s">
        <v>2</v>
      </c>
      <c r="N67" s="212" t="s">
        <v>1406</v>
      </c>
    </row>
    <row r="68" spans="1:14" s="155" customFormat="1">
      <c r="A68" s="208" t="s">
        <v>1176</v>
      </c>
      <c r="B68" s="209">
        <v>1.1000000000000001</v>
      </c>
      <c r="C68" s="210" t="str">
        <f>IF('Client PICS'!I$90="Yes","Yes","No")</f>
        <v>No</v>
      </c>
      <c r="D68" s="140" t="s">
        <v>71</v>
      </c>
      <c r="E68" s="211" t="s">
        <v>390</v>
      </c>
      <c r="F68" s="140"/>
      <c r="G68" s="211" t="s">
        <v>1324</v>
      </c>
      <c r="H68" s="140"/>
      <c r="I68" s="211" t="s">
        <v>1324</v>
      </c>
      <c r="J68" s="140"/>
      <c r="K68" s="211" t="s">
        <v>1324</v>
      </c>
      <c r="L68" s="212"/>
      <c r="M68" s="212" t="s">
        <v>2</v>
      </c>
      <c r="N68" s="212" t="s">
        <v>1406</v>
      </c>
    </row>
    <row r="69" spans="1:14" s="155" customFormat="1">
      <c r="A69" s="208" t="s">
        <v>1177</v>
      </c>
      <c r="B69" s="209">
        <v>1.1000000000000001</v>
      </c>
      <c r="C69" s="210" t="str">
        <f>IF('Client PICS'!I$91="Yes","Yes","No")</f>
        <v>No</v>
      </c>
      <c r="D69" s="140" t="s">
        <v>71</v>
      </c>
      <c r="E69" s="211" t="s">
        <v>540</v>
      </c>
      <c r="F69" s="140"/>
      <c r="G69" s="211" t="s">
        <v>1324</v>
      </c>
      <c r="H69" s="140"/>
      <c r="I69" s="211" t="s">
        <v>1324</v>
      </c>
      <c r="J69" s="140"/>
      <c r="K69" s="211" t="s">
        <v>1324</v>
      </c>
      <c r="L69" s="212"/>
      <c r="M69" s="212" t="s">
        <v>2</v>
      </c>
      <c r="N69" s="212" t="s">
        <v>539</v>
      </c>
    </row>
    <row r="70" spans="1:14" s="155" customFormat="1">
      <c r="A70" s="208" t="s">
        <v>1178</v>
      </c>
      <c r="B70" s="209">
        <v>1.1000000000000001</v>
      </c>
      <c r="C70" s="210" t="str">
        <f>IF('Client PICS'!I$91="Yes","Yes","No")</f>
        <v>No</v>
      </c>
      <c r="D70" s="140" t="s">
        <v>71</v>
      </c>
      <c r="E70" s="211" t="s">
        <v>540</v>
      </c>
      <c r="F70" s="140"/>
      <c r="G70" s="211" t="s">
        <v>1324</v>
      </c>
      <c r="H70" s="140"/>
      <c r="I70" s="211" t="s">
        <v>1324</v>
      </c>
      <c r="J70" s="140"/>
      <c r="K70" s="211" t="s">
        <v>1324</v>
      </c>
      <c r="L70" s="212"/>
      <c r="M70" s="212" t="s">
        <v>2</v>
      </c>
      <c r="N70" s="212" t="s">
        <v>539</v>
      </c>
    </row>
    <row r="71" spans="1:14" s="155" customFormat="1">
      <c r="A71" s="208" t="s">
        <v>1179</v>
      </c>
      <c r="B71" s="209">
        <v>1.1000000000000001</v>
      </c>
      <c r="C71" s="210" t="str">
        <f>IF('Client PICS'!I$91="Yes","Yes","No")</f>
        <v>No</v>
      </c>
      <c r="D71" s="140" t="s">
        <v>71</v>
      </c>
      <c r="E71" s="211" t="s">
        <v>540</v>
      </c>
      <c r="F71" s="140"/>
      <c r="G71" s="211" t="s">
        <v>1324</v>
      </c>
      <c r="H71" s="140"/>
      <c r="I71" s="211" t="s">
        <v>1324</v>
      </c>
      <c r="J71" s="140"/>
      <c r="K71" s="211" t="s">
        <v>1324</v>
      </c>
      <c r="L71" s="212"/>
      <c r="M71" s="212" t="s">
        <v>2</v>
      </c>
      <c r="N71" s="212" t="s">
        <v>539</v>
      </c>
    </row>
    <row r="72" spans="1:14" s="155" customFormat="1">
      <c r="A72" s="208" t="s">
        <v>1180</v>
      </c>
      <c r="B72" s="209">
        <v>1.1000000000000001</v>
      </c>
      <c r="C72" s="210" t="str">
        <f>IF('Client PICS'!I$91="Yes","Yes","No")</f>
        <v>No</v>
      </c>
      <c r="D72" s="140" t="s">
        <v>71</v>
      </c>
      <c r="E72" s="211" t="s">
        <v>540</v>
      </c>
      <c r="F72" s="140"/>
      <c r="G72" s="211" t="s">
        <v>1324</v>
      </c>
      <c r="H72" s="140"/>
      <c r="I72" s="211" t="s">
        <v>1324</v>
      </c>
      <c r="J72" s="140"/>
      <c r="K72" s="211" t="s">
        <v>1324</v>
      </c>
      <c r="L72" s="212"/>
      <c r="M72" s="212" t="s">
        <v>2</v>
      </c>
      <c r="N72" s="212" t="s">
        <v>539</v>
      </c>
    </row>
    <row r="73" spans="1:14" s="155" customFormat="1">
      <c r="A73" s="208" t="s">
        <v>1528</v>
      </c>
      <c r="B73" s="209" t="s">
        <v>1518</v>
      </c>
      <c r="C73" s="210" t="str">
        <f>IF(AND('Client PICS'!I$91="Yes",'Client PICS'!I$92="Yes"),"Yes","No")</f>
        <v>No</v>
      </c>
      <c r="D73" s="140" t="s">
        <v>71</v>
      </c>
      <c r="E73" s="211" t="s">
        <v>540</v>
      </c>
      <c r="F73" s="140" t="s">
        <v>1124</v>
      </c>
      <c r="G73" s="211" t="s">
        <v>541</v>
      </c>
      <c r="H73" s="140"/>
      <c r="I73" s="211" t="s">
        <v>1324</v>
      </c>
      <c r="J73" s="140"/>
      <c r="K73" s="211" t="s">
        <v>1324</v>
      </c>
      <c r="L73" s="212"/>
      <c r="M73" s="212" t="s">
        <v>2</v>
      </c>
      <c r="N73" s="212" t="s">
        <v>539</v>
      </c>
    </row>
    <row r="74" spans="1:14" s="155" customFormat="1">
      <c r="A74" s="208" t="s">
        <v>1181</v>
      </c>
      <c r="B74" s="209">
        <v>1.1000000000000001</v>
      </c>
      <c r="C74" s="210" t="str">
        <f>IF(AND('Client PICS'!I$91="Yes",'Client PICS'!I$93="Yes"),"Yes","No")</f>
        <v>No</v>
      </c>
      <c r="D74" s="140" t="s">
        <v>71</v>
      </c>
      <c r="E74" s="211" t="s">
        <v>540</v>
      </c>
      <c r="F74" s="140" t="s">
        <v>1124</v>
      </c>
      <c r="G74" s="211" t="s">
        <v>346</v>
      </c>
      <c r="H74" s="140"/>
      <c r="I74" s="211" t="s">
        <v>1324</v>
      </c>
      <c r="J74" s="140"/>
      <c r="K74" s="211" t="s">
        <v>1324</v>
      </c>
      <c r="L74" s="212"/>
      <c r="M74" s="212" t="s">
        <v>2</v>
      </c>
      <c r="N74" s="212" t="s">
        <v>1407</v>
      </c>
    </row>
    <row r="75" spans="1:14" s="155" customFormat="1">
      <c r="A75" s="208" t="s">
        <v>1182</v>
      </c>
      <c r="B75" s="209">
        <v>1.1000000000000001</v>
      </c>
      <c r="C75" s="210" t="str">
        <f>IF(AND('Client PICS'!I$91="Yes",'Client PICS'!I$93="Yes"),"Yes","No")</f>
        <v>No</v>
      </c>
      <c r="D75" s="140" t="s">
        <v>71</v>
      </c>
      <c r="E75" s="211" t="s">
        <v>540</v>
      </c>
      <c r="F75" s="140" t="s">
        <v>1124</v>
      </c>
      <c r="G75" s="211" t="s">
        <v>346</v>
      </c>
      <c r="H75" s="140"/>
      <c r="I75" s="211" t="s">
        <v>1324</v>
      </c>
      <c r="J75" s="140"/>
      <c r="K75" s="211" t="s">
        <v>1324</v>
      </c>
      <c r="L75" s="212"/>
      <c r="M75" s="212" t="s">
        <v>2</v>
      </c>
      <c r="N75" s="212" t="s">
        <v>1407</v>
      </c>
    </row>
    <row r="76" spans="1:14" s="155" customFormat="1">
      <c r="A76" s="208" t="s">
        <v>1183</v>
      </c>
      <c r="B76" s="209">
        <v>1.1000000000000001</v>
      </c>
      <c r="C76" s="210" t="str">
        <f>IF(AND('Client PICS'!I$91="Yes",'Client PICS'!I$93="Yes"),"Yes","No")</f>
        <v>No</v>
      </c>
      <c r="D76" s="140" t="s">
        <v>71</v>
      </c>
      <c r="E76" s="211" t="s">
        <v>540</v>
      </c>
      <c r="F76" s="140" t="s">
        <v>1124</v>
      </c>
      <c r="G76" s="211" t="s">
        <v>346</v>
      </c>
      <c r="H76" s="140"/>
      <c r="I76" s="211" t="s">
        <v>1324</v>
      </c>
      <c r="J76" s="140"/>
      <c r="K76" s="211" t="s">
        <v>1324</v>
      </c>
      <c r="L76" s="212"/>
      <c r="M76" s="212" t="s">
        <v>2</v>
      </c>
      <c r="N76" s="212" t="s">
        <v>1407</v>
      </c>
    </row>
    <row r="77" spans="1:14" s="155" customFormat="1">
      <c r="A77" s="208" t="s">
        <v>1184</v>
      </c>
      <c r="B77" s="209">
        <v>1.1000000000000001</v>
      </c>
      <c r="C77" s="210" t="str">
        <f>IF(AND('Client PICS'!I$91="Yes",'Client PICS'!I$93="Yes"),"Yes","No")</f>
        <v>No</v>
      </c>
      <c r="D77" s="140" t="s">
        <v>71</v>
      </c>
      <c r="E77" s="211" t="s">
        <v>540</v>
      </c>
      <c r="F77" s="140" t="s">
        <v>1124</v>
      </c>
      <c r="G77" s="211" t="s">
        <v>346</v>
      </c>
      <c r="H77" s="140"/>
      <c r="I77" s="211" t="s">
        <v>1324</v>
      </c>
      <c r="J77" s="140"/>
      <c r="K77" s="211" t="s">
        <v>1324</v>
      </c>
      <c r="L77" s="212"/>
      <c r="M77" s="212" t="s">
        <v>2</v>
      </c>
      <c r="N77" s="212" t="s">
        <v>1407</v>
      </c>
    </row>
    <row r="78" spans="1:14" s="155" customFormat="1">
      <c r="A78" s="208" t="s">
        <v>1185</v>
      </c>
      <c r="B78" s="209">
        <v>1.1000000000000001</v>
      </c>
      <c r="C78" s="210" t="str">
        <f>IF('Client PICS'!I$94="Yes","Yes","No")</f>
        <v>No</v>
      </c>
      <c r="D78" s="140" t="s">
        <v>71</v>
      </c>
      <c r="E78" s="211" t="s">
        <v>391</v>
      </c>
      <c r="F78" s="140"/>
      <c r="G78" s="211" t="s">
        <v>1324</v>
      </c>
      <c r="H78" s="140"/>
      <c r="I78" s="211" t="s">
        <v>1324</v>
      </c>
      <c r="J78" s="140"/>
      <c r="K78" s="211" t="s">
        <v>1324</v>
      </c>
      <c r="L78" s="212"/>
      <c r="M78" s="212" t="s">
        <v>2</v>
      </c>
      <c r="N78" s="212" t="s">
        <v>203</v>
      </c>
    </row>
    <row r="79" spans="1:14" s="155" customFormat="1">
      <c r="A79" s="208" t="s">
        <v>1186</v>
      </c>
      <c r="B79" s="209" t="s">
        <v>1849</v>
      </c>
      <c r="C79" s="210" t="str">
        <f>IF(AND('Client PICS'!I$94="Yes",'Client PICS'!I$95="Yes"),"Yes","No")</f>
        <v>No</v>
      </c>
      <c r="D79" s="140" t="s">
        <v>71</v>
      </c>
      <c r="E79" s="211" t="s">
        <v>391</v>
      </c>
      <c r="F79" s="140" t="s">
        <v>1124</v>
      </c>
      <c r="G79" s="211" t="s">
        <v>347</v>
      </c>
      <c r="H79" s="140"/>
      <c r="I79" s="211" t="s">
        <v>1324</v>
      </c>
      <c r="J79" s="140"/>
      <c r="K79" s="211" t="s">
        <v>1324</v>
      </c>
      <c r="L79" s="212"/>
      <c r="M79" s="212" t="s">
        <v>2</v>
      </c>
      <c r="N79" s="212" t="s">
        <v>203</v>
      </c>
    </row>
    <row r="80" spans="1:14" s="155" customFormat="1">
      <c r="A80" s="208" t="s">
        <v>1187</v>
      </c>
      <c r="B80" s="214" t="s">
        <v>2104</v>
      </c>
      <c r="C80" s="245" t="str">
        <f>IF(AND('Client PICS'!I$94="Yes",'Client PICS'!I$96="Yes",'Client PICS'!I$97="Yes"),"Yes","No")</f>
        <v>No</v>
      </c>
      <c r="D80" s="140" t="s">
        <v>71</v>
      </c>
      <c r="E80" s="211" t="s">
        <v>391</v>
      </c>
      <c r="F80" s="140" t="s">
        <v>1124</v>
      </c>
      <c r="G80" s="246" t="s">
        <v>2108</v>
      </c>
      <c r="H80" s="215" t="s">
        <v>1124</v>
      </c>
      <c r="I80" s="246" t="s">
        <v>2109</v>
      </c>
      <c r="J80" s="140"/>
      <c r="K80" s="211" t="s">
        <v>1324</v>
      </c>
      <c r="L80" s="212"/>
      <c r="M80" s="212" t="s">
        <v>2</v>
      </c>
      <c r="N80" s="212" t="s">
        <v>203</v>
      </c>
    </row>
    <row r="81" spans="1:14" s="172" customFormat="1">
      <c r="A81" s="256" t="s">
        <v>2111</v>
      </c>
      <c r="B81" s="214" t="s">
        <v>2104</v>
      </c>
      <c r="C81" s="245" t="str">
        <f>IF(AND('Client PICS'!I$94="Yes",'Client PICS'!I$96="Yes"),"Yes","No")</f>
        <v>No</v>
      </c>
      <c r="D81" s="215" t="s">
        <v>71</v>
      </c>
      <c r="E81" s="246" t="s">
        <v>391</v>
      </c>
      <c r="F81" s="215" t="s">
        <v>1124</v>
      </c>
      <c r="G81" s="246" t="s">
        <v>2108</v>
      </c>
      <c r="H81" s="215"/>
      <c r="I81" s="246"/>
      <c r="J81" s="215"/>
      <c r="K81" s="246" t="s">
        <v>1324</v>
      </c>
      <c r="L81" s="247"/>
      <c r="M81" s="247" t="s">
        <v>2</v>
      </c>
      <c r="N81" s="247" t="s">
        <v>203</v>
      </c>
    </row>
    <row r="82" spans="1:14" s="155" customFormat="1">
      <c r="A82" s="208" t="s">
        <v>1188</v>
      </c>
      <c r="B82" s="214" t="s">
        <v>2104</v>
      </c>
      <c r="C82" s="245" t="str">
        <f>IF(AND('Client PICS'!I$94="Yes",'Client PICS'!I$100="Yes",'Client PICS'!I$101="Yes"),"Yes","No")</f>
        <v>No</v>
      </c>
      <c r="D82" s="140" t="s">
        <v>71</v>
      </c>
      <c r="E82" s="246" t="s">
        <v>391</v>
      </c>
      <c r="F82" s="215" t="s">
        <v>1124</v>
      </c>
      <c r="G82" s="246" t="s">
        <v>2114</v>
      </c>
      <c r="H82" s="215" t="s">
        <v>1124</v>
      </c>
      <c r="I82" s="246" t="s">
        <v>2115</v>
      </c>
      <c r="J82" s="140"/>
      <c r="K82" s="211" t="s">
        <v>1324</v>
      </c>
      <c r="L82" s="212"/>
      <c r="M82" s="212" t="s">
        <v>2</v>
      </c>
      <c r="N82" s="212" t="s">
        <v>203</v>
      </c>
    </row>
    <row r="83" spans="1:14" s="172" customFormat="1">
      <c r="A83" s="256" t="s">
        <v>2116</v>
      </c>
      <c r="B83" s="214" t="s">
        <v>2104</v>
      </c>
      <c r="C83" s="245" t="str">
        <f>IF(AND('Client PICS'!I$94="Yes",'Client PICS'!I$100="Yes"),"Yes","No")</f>
        <v>No</v>
      </c>
      <c r="D83" s="215" t="s">
        <v>71</v>
      </c>
      <c r="E83" s="246" t="s">
        <v>391</v>
      </c>
      <c r="F83" s="215" t="s">
        <v>1124</v>
      </c>
      <c r="G83" s="246" t="s">
        <v>2114</v>
      </c>
      <c r="H83" s="215"/>
      <c r="I83" s="246" t="s">
        <v>1324</v>
      </c>
      <c r="J83" s="215"/>
      <c r="K83" s="246" t="s">
        <v>1324</v>
      </c>
      <c r="L83" s="247"/>
      <c r="M83" s="247" t="s">
        <v>2</v>
      </c>
      <c r="N83" s="247" t="s">
        <v>203</v>
      </c>
    </row>
    <row r="84" spans="1:14" s="155" customFormat="1">
      <c r="A84" s="208" t="s">
        <v>1189</v>
      </c>
      <c r="B84" s="209" t="s">
        <v>1849</v>
      </c>
      <c r="C84" s="210" t="str">
        <f>IF(AND('Client PICS'!I$94="Yes",'Client PICS'!I$102="Yes"),"Yes","No")</f>
        <v>No</v>
      </c>
      <c r="D84" s="140" t="s">
        <v>71</v>
      </c>
      <c r="E84" s="211" t="s">
        <v>391</v>
      </c>
      <c r="F84" s="140" t="s">
        <v>1124</v>
      </c>
      <c r="G84" s="211" t="s">
        <v>725</v>
      </c>
      <c r="H84" s="140"/>
      <c r="I84" s="211" t="s">
        <v>1324</v>
      </c>
      <c r="J84" s="140"/>
      <c r="K84" s="211" t="s">
        <v>1324</v>
      </c>
      <c r="L84" s="212"/>
      <c r="M84" s="212" t="s">
        <v>2</v>
      </c>
      <c r="N84" s="212" t="s">
        <v>203</v>
      </c>
    </row>
    <row r="85" spans="1:14" s="155" customFormat="1">
      <c r="A85" s="208" t="s">
        <v>1529</v>
      </c>
      <c r="B85" s="214" t="s">
        <v>2104</v>
      </c>
      <c r="C85" s="245" t="str">
        <f>IF(AND('Client PICS'!I$94="Yes",'Client PICS'!I$98="Yes",'Client PICS'!I$99="Yes"),"Yes","No")</f>
        <v>No</v>
      </c>
      <c r="D85" s="140" t="s">
        <v>71</v>
      </c>
      <c r="E85" s="211" t="s">
        <v>391</v>
      </c>
      <c r="F85" s="140" t="s">
        <v>1124</v>
      </c>
      <c r="G85" s="211" t="s">
        <v>2120</v>
      </c>
      <c r="H85" s="140" t="s">
        <v>1124</v>
      </c>
      <c r="I85" s="211" t="s">
        <v>2121</v>
      </c>
      <c r="J85" s="140"/>
      <c r="K85" s="211" t="s">
        <v>1324</v>
      </c>
      <c r="L85" s="212"/>
      <c r="M85" s="212" t="s">
        <v>2</v>
      </c>
      <c r="N85" s="212" t="s">
        <v>203</v>
      </c>
    </row>
    <row r="86" spans="1:14" s="172" customFormat="1">
      <c r="A86" s="256" t="s">
        <v>2117</v>
      </c>
      <c r="B86" s="214" t="s">
        <v>2104</v>
      </c>
      <c r="C86" s="245" t="str">
        <f>IF(AND('Client PICS'!I$94="Yes",'Client PICS'!I$99="Yes"),"Yes","No")</f>
        <v>No</v>
      </c>
      <c r="D86" s="215" t="s">
        <v>71</v>
      </c>
      <c r="E86" s="246" t="s">
        <v>391</v>
      </c>
      <c r="F86" s="215" t="s">
        <v>1124</v>
      </c>
      <c r="G86" s="246" t="s">
        <v>2121</v>
      </c>
      <c r="H86" s="215"/>
      <c r="I86" s="246" t="s">
        <v>1324</v>
      </c>
      <c r="J86" s="215"/>
      <c r="K86" s="246" t="s">
        <v>1324</v>
      </c>
      <c r="L86" s="247"/>
      <c r="M86" s="247" t="s">
        <v>2</v>
      </c>
      <c r="N86" s="247" t="s">
        <v>203</v>
      </c>
    </row>
    <row r="87" spans="1:14" s="155" customFormat="1">
      <c r="A87" s="208" t="s">
        <v>1190</v>
      </c>
      <c r="B87" s="214" t="s">
        <v>2104</v>
      </c>
      <c r="C87" s="245" t="str">
        <f>IF(AND('Client PICS'!I$94="Yes",'Client PICS'!I$105="Yes"),"Yes","No")</f>
        <v>No</v>
      </c>
      <c r="D87" s="140" t="s">
        <v>71</v>
      </c>
      <c r="E87" s="246" t="s">
        <v>391</v>
      </c>
      <c r="F87" s="215" t="s">
        <v>1124</v>
      </c>
      <c r="G87" s="246" t="s">
        <v>348</v>
      </c>
      <c r="H87" s="140"/>
      <c r="I87" s="211"/>
      <c r="J87" s="140"/>
      <c r="K87" s="211" t="s">
        <v>1324</v>
      </c>
      <c r="L87" s="212"/>
      <c r="M87" s="212" t="s">
        <v>2</v>
      </c>
      <c r="N87" s="212" t="s">
        <v>203</v>
      </c>
    </row>
    <row r="88" spans="1:14" s="155" customFormat="1">
      <c r="A88" s="208" t="s">
        <v>1191</v>
      </c>
      <c r="B88" s="214" t="s">
        <v>2104</v>
      </c>
      <c r="C88" s="245" t="str">
        <f>IF(AND('Client PICS'!I$94="Yes",'Client PICS'!I$105="Yes"),"Yes","No")</f>
        <v>No</v>
      </c>
      <c r="D88" s="140" t="s">
        <v>71</v>
      </c>
      <c r="E88" s="246" t="s">
        <v>391</v>
      </c>
      <c r="F88" s="215" t="s">
        <v>1124</v>
      </c>
      <c r="G88" s="246" t="s">
        <v>348</v>
      </c>
      <c r="H88" s="140"/>
      <c r="I88" s="211"/>
      <c r="J88" s="140"/>
      <c r="K88" s="211" t="s">
        <v>1324</v>
      </c>
      <c r="L88" s="212"/>
      <c r="M88" s="212" t="s">
        <v>2</v>
      </c>
      <c r="N88" s="212" t="s">
        <v>203</v>
      </c>
    </row>
    <row r="89" spans="1:14" s="155" customFormat="1">
      <c r="A89" s="208" t="s">
        <v>1192</v>
      </c>
      <c r="B89" s="214" t="s">
        <v>2104</v>
      </c>
      <c r="C89" s="245" t="str">
        <f>IF(AND('Client PICS'!I$94="Yes",'Client PICS'!I$106="Yes"),"Yes","No")</f>
        <v>No</v>
      </c>
      <c r="D89" s="140" t="s">
        <v>71</v>
      </c>
      <c r="E89" s="246" t="s">
        <v>391</v>
      </c>
      <c r="F89" s="215" t="s">
        <v>1124</v>
      </c>
      <c r="G89" s="246" t="s">
        <v>349</v>
      </c>
      <c r="H89" s="140"/>
      <c r="I89" s="211"/>
      <c r="J89" s="140"/>
      <c r="K89" s="211" t="s">
        <v>1324</v>
      </c>
      <c r="L89" s="212"/>
      <c r="M89" s="212" t="s">
        <v>2</v>
      </c>
      <c r="N89" s="212" t="s">
        <v>203</v>
      </c>
    </row>
    <row r="90" spans="1:14" s="155" customFormat="1">
      <c r="A90" s="208" t="s">
        <v>1193</v>
      </c>
      <c r="B90" s="214" t="s">
        <v>2104</v>
      </c>
      <c r="C90" s="245" t="str">
        <f>IF(AND('Client PICS'!I$94="Yes",'Client PICS'!I$106="Yes"),"Yes","No")</f>
        <v>No</v>
      </c>
      <c r="D90" s="140" t="s">
        <v>71</v>
      </c>
      <c r="E90" s="246" t="s">
        <v>391</v>
      </c>
      <c r="F90" s="215" t="s">
        <v>1124</v>
      </c>
      <c r="G90" s="246" t="s">
        <v>349</v>
      </c>
      <c r="H90" s="140"/>
      <c r="I90" s="211"/>
      <c r="J90" s="140"/>
      <c r="K90" s="211" t="s">
        <v>1324</v>
      </c>
      <c r="L90" s="212"/>
      <c r="M90" s="212" t="s">
        <v>2</v>
      </c>
      <c r="N90" s="212" t="s">
        <v>203</v>
      </c>
    </row>
    <row r="91" spans="1:14" s="155" customFormat="1">
      <c r="A91" s="208" t="s">
        <v>1194</v>
      </c>
      <c r="B91" s="209">
        <v>1.1000000000000001</v>
      </c>
      <c r="C91" s="210" t="str">
        <f>IF('Client PICS'!I$107="Yes","Yes","No")</f>
        <v>No</v>
      </c>
      <c r="D91" s="140" t="s">
        <v>71</v>
      </c>
      <c r="E91" s="211" t="s">
        <v>350</v>
      </c>
      <c r="F91" s="140"/>
      <c r="G91" s="211" t="s">
        <v>1324</v>
      </c>
      <c r="H91" s="140"/>
      <c r="I91" s="211" t="s">
        <v>1324</v>
      </c>
      <c r="J91" s="140"/>
      <c r="K91" s="211" t="s">
        <v>1324</v>
      </c>
      <c r="L91" s="212"/>
      <c r="M91" s="212" t="s">
        <v>2</v>
      </c>
      <c r="N91" s="212" t="s">
        <v>1408</v>
      </c>
    </row>
    <row r="92" spans="1:14" s="155" customFormat="1">
      <c r="A92" s="208" t="s">
        <v>1195</v>
      </c>
      <c r="B92" s="209">
        <v>1.1000000000000001</v>
      </c>
      <c r="C92" s="210" t="str">
        <f>IF('Client PICS'!I$107="Yes","Yes","No")</f>
        <v>No</v>
      </c>
      <c r="D92" s="140" t="s">
        <v>71</v>
      </c>
      <c r="E92" s="211" t="s">
        <v>350</v>
      </c>
      <c r="F92" s="140"/>
      <c r="G92" s="211" t="s">
        <v>1324</v>
      </c>
      <c r="H92" s="140"/>
      <c r="I92" s="211" t="s">
        <v>1324</v>
      </c>
      <c r="J92" s="140"/>
      <c r="K92" s="211" t="s">
        <v>1324</v>
      </c>
      <c r="L92" s="212"/>
      <c r="M92" s="212" t="s">
        <v>2</v>
      </c>
      <c r="N92" s="212" t="s">
        <v>1408</v>
      </c>
    </row>
    <row r="93" spans="1:14" s="155" customFormat="1">
      <c r="A93" s="208" t="s">
        <v>1196</v>
      </c>
      <c r="B93" s="209">
        <v>1.1000000000000001</v>
      </c>
      <c r="C93" s="210" t="str">
        <f>IF('Client PICS'!I$107="Yes","Yes","No")</f>
        <v>No</v>
      </c>
      <c r="D93" s="140" t="s">
        <v>71</v>
      </c>
      <c r="E93" s="211" t="s">
        <v>350</v>
      </c>
      <c r="F93" s="140"/>
      <c r="G93" s="211" t="s">
        <v>1324</v>
      </c>
      <c r="H93" s="140"/>
      <c r="I93" s="211" t="s">
        <v>1324</v>
      </c>
      <c r="J93" s="140"/>
      <c r="K93" s="211" t="s">
        <v>1324</v>
      </c>
      <c r="L93" s="212"/>
      <c r="M93" s="212" t="s">
        <v>2</v>
      </c>
      <c r="N93" s="212" t="s">
        <v>1408</v>
      </c>
    </row>
    <row r="94" spans="1:14" s="155" customFormat="1">
      <c r="A94" s="208" t="s">
        <v>1197</v>
      </c>
      <c r="B94" s="209">
        <v>1.1000000000000001</v>
      </c>
      <c r="C94" s="210" t="str">
        <f>IF('Client PICS'!I$109="Yes","Yes","No")</f>
        <v>No</v>
      </c>
      <c r="D94" s="140" t="s">
        <v>71</v>
      </c>
      <c r="E94" s="211" t="s">
        <v>393</v>
      </c>
      <c r="F94" s="140"/>
      <c r="G94" s="211" t="s">
        <v>1324</v>
      </c>
      <c r="H94" s="140"/>
      <c r="I94" s="211" t="s">
        <v>1324</v>
      </c>
      <c r="J94" s="140"/>
      <c r="K94" s="211" t="s">
        <v>1324</v>
      </c>
      <c r="L94" s="212"/>
      <c r="M94" s="212" t="s">
        <v>2</v>
      </c>
      <c r="N94" s="212" t="s">
        <v>1409</v>
      </c>
    </row>
    <row r="95" spans="1:14" s="155" customFormat="1">
      <c r="A95" s="208" t="s">
        <v>1198</v>
      </c>
      <c r="B95" s="209">
        <v>1.1000000000000001</v>
      </c>
      <c r="C95" s="210" t="str">
        <f>IF(AND('Client PICS'!I$109="Yes",'Client PICS'!I$110="Yes"),"Yes","No")</f>
        <v>No</v>
      </c>
      <c r="D95" s="140" t="s">
        <v>71</v>
      </c>
      <c r="E95" s="211" t="s">
        <v>393</v>
      </c>
      <c r="F95" s="140" t="s">
        <v>1124</v>
      </c>
      <c r="G95" s="211" t="s">
        <v>394</v>
      </c>
      <c r="H95" s="140"/>
      <c r="I95" s="211" t="s">
        <v>1324</v>
      </c>
      <c r="J95" s="140"/>
      <c r="K95" s="211" t="s">
        <v>1324</v>
      </c>
      <c r="L95" s="212"/>
      <c r="M95" s="212" t="s">
        <v>2</v>
      </c>
      <c r="N95" s="212" t="s">
        <v>1409</v>
      </c>
    </row>
    <row r="96" spans="1:14" s="155" customFormat="1">
      <c r="A96" s="208" t="s">
        <v>1199</v>
      </c>
      <c r="B96" s="209" t="s">
        <v>1518</v>
      </c>
      <c r="C96" s="210" t="str">
        <f>IF(AND('Client PICS'!I$109="Yes",'Client PICS'!I$111="Yes"),"Yes","No")</f>
        <v>No</v>
      </c>
      <c r="D96" s="140" t="s">
        <v>71</v>
      </c>
      <c r="E96" s="211" t="s">
        <v>393</v>
      </c>
      <c r="F96" s="140" t="s">
        <v>1124</v>
      </c>
      <c r="G96" s="211" t="s">
        <v>395</v>
      </c>
      <c r="H96" s="140"/>
      <c r="I96" s="211" t="s">
        <v>1324</v>
      </c>
      <c r="J96" s="140"/>
      <c r="K96" s="211" t="s">
        <v>1324</v>
      </c>
      <c r="L96" s="212"/>
      <c r="M96" s="212" t="s">
        <v>2</v>
      </c>
      <c r="N96" s="212" t="s">
        <v>1409</v>
      </c>
    </row>
    <row r="97" spans="1:14" s="155" customFormat="1">
      <c r="A97" s="208" t="s">
        <v>1200</v>
      </c>
      <c r="B97" s="209" t="s">
        <v>1518</v>
      </c>
      <c r="C97" s="210" t="str">
        <f>IF(AND('Client PICS'!I$109="Yes",'Client PICS'!I$111="Yes",'Client PICS'!I$114="Yes"),"Yes","No")</f>
        <v>No</v>
      </c>
      <c r="D97" s="140" t="s">
        <v>71</v>
      </c>
      <c r="E97" s="211" t="s">
        <v>393</v>
      </c>
      <c r="F97" s="140" t="s">
        <v>1124</v>
      </c>
      <c r="G97" s="211" t="s">
        <v>395</v>
      </c>
      <c r="H97" s="140" t="s">
        <v>1124</v>
      </c>
      <c r="I97" s="211" t="s">
        <v>397</v>
      </c>
      <c r="J97" s="140"/>
      <c r="K97" s="211" t="s">
        <v>1324</v>
      </c>
      <c r="L97" s="212"/>
      <c r="M97" s="212" t="s">
        <v>2</v>
      </c>
      <c r="N97" s="212" t="s">
        <v>1409</v>
      </c>
    </row>
    <row r="98" spans="1:14" s="155" customFormat="1">
      <c r="A98" s="208" t="s">
        <v>1201</v>
      </c>
      <c r="B98" s="209">
        <v>1.1000000000000001</v>
      </c>
      <c r="C98" s="210" t="str">
        <f>IF('Client PICS'!I$111="Yes","Yes","No")</f>
        <v>No</v>
      </c>
      <c r="D98" s="140" t="s">
        <v>71</v>
      </c>
      <c r="E98" s="211" t="s">
        <v>395</v>
      </c>
      <c r="F98" s="140"/>
      <c r="G98" s="211" t="s">
        <v>1324</v>
      </c>
      <c r="H98" s="140"/>
      <c r="I98" s="211" t="s">
        <v>1324</v>
      </c>
      <c r="J98" s="140"/>
      <c r="K98" s="211" t="s">
        <v>1324</v>
      </c>
      <c r="L98" s="212"/>
      <c r="M98" s="212" t="s">
        <v>2</v>
      </c>
      <c r="N98" s="212" t="s">
        <v>1409</v>
      </c>
    </row>
    <row r="99" spans="1:14" s="172" customFormat="1">
      <c r="A99" s="256" t="s">
        <v>2133</v>
      </c>
      <c r="B99" s="214" t="s">
        <v>2134</v>
      </c>
      <c r="C99" s="245" t="s">
        <v>89</v>
      </c>
      <c r="D99" s="215" t="s">
        <v>3</v>
      </c>
      <c r="E99" s="171" t="s">
        <v>565</v>
      </c>
      <c r="F99" s="215"/>
      <c r="G99" s="246"/>
      <c r="H99" s="215"/>
      <c r="I99" s="246"/>
      <c r="J99" s="215"/>
      <c r="K99" s="246"/>
      <c r="L99" s="247"/>
      <c r="M99" s="247" t="s">
        <v>2</v>
      </c>
      <c r="N99" s="247" t="s">
        <v>1409</v>
      </c>
    </row>
    <row r="100" spans="1:14" s="155" customFormat="1">
      <c r="A100" s="208" t="s">
        <v>1202</v>
      </c>
      <c r="B100" s="209" t="s">
        <v>929</v>
      </c>
      <c r="C100" s="210" t="str">
        <f>IF(AND('Client PICS'!I$116="Yes",'Client PICS'!I$151="Yes"),"Yes","No")</f>
        <v>No</v>
      </c>
      <c r="D100" s="140" t="s">
        <v>71</v>
      </c>
      <c r="E100" s="211" t="s">
        <v>400</v>
      </c>
      <c r="F100" s="140" t="s">
        <v>1124</v>
      </c>
      <c r="G100" s="211" t="s">
        <v>365</v>
      </c>
      <c r="H100" s="140"/>
      <c r="I100" s="211"/>
      <c r="J100" s="140"/>
      <c r="K100" s="211" t="s">
        <v>1324</v>
      </c>
      <c r="L100" s="212"/>
      <c r="M100" s="212" t="s">
        <v>2</v>
      </c>
      <c r="N100" s="212" t="s">
        <v>1409</v>
      </c>
    </row>
    <row r="101" spans="1:14" s="155" customFormat="1">
      <c r="A101" s="208" t="s">
        <v>1203</v>
      </c>
      <c r="B101" s="209">
        <v>1.1000000000000001</v>
      </c>
      <c r="C101" s="210" t="str">
        <f>IF('Client PICS'!I$117="Yes","Yes","No")</f>
        <v>No</v>
      </c>
      <c r="D101" s="140" t="s">
        <v>71</v>
      </c>
      <c r="E101" s="211" t="s">
        <v>401</v>
      </c>
      <c r="F101" s="140"/>
      <c r="G101" s="211" t="s">
        <v>1324</v>
      </c>
      <c r="H101" s="140"/>
      <c r="I101" s="211" t="s">
        <v>1324</v>
      </c>
      <c r="J101" s="140"/>
      <c r="K101" s="211" t="s">
        <v>1324</v>
      </c>
      <c r="L101" s="212"/>
      <c r="M101" s="212" t="s">
        <v>2</v>
      </c>
      <c r="N101" s="212" t="s">
        <v>1409</v>
      </c>
    </row>
    <row r="102" spans="1:14" s="155" customFormat="1">
      <c r="A102" s="208" t="s">
        <v>1204</v>
      </c>
      <c r="B102" s="209" t="s">
        <v>929</v>
      </c>
      <c r="C102" s="210" t="str">
        <f>IF('Client PICS'!I$118="Yes","Yes","No")</f>
        <v>No</v>
      </c>
      <c r="D102" s="140" t="s">
        <v>71</v>
      </c>
      <c r="E102" s="211" t="s">
        <v>351</v>
      </c>
      <c r="F102" s="140"/>
      <c r="G102" s="211" t="s">
        <v>1324</v>
      </c>
      <c r="H102" s="140"/>
      <c r="I102" s="211" t="s">
        <v>1324</v>
      </c>
      <c r="J102" s="140"/>
      <c r="K102" s="211" t="s">
        <v>1324</v>
      </c>
      <c r="L102" s="212"/>
      <c r="M102" s="212" t="s">
        <v>2</v>
      </c>
      <c r="N102" s="212" t="s">
        <v>1410</v>
      </c>
    </row>
    <row r="103" spans="1:14" s="155" customFormat="1">
      <c r="A103" s="208" t="s">
        <v>1205</v>
      </c>
      <c r="B103" s="209">
        <v>1.1000000000000001</v>
      </c>
      <c r="C103" s="210" t="str">
        <f>IF('Client PICS'!I$118="Yes","Yes","No")</f>
        <v>No</v>
      </c>
      <c r="D103" s="140" t="s">
        <v>71</v>
      </c>
      <c r="E103" s="211" t="s">
        <v>351</v>
      </c>
      <c r="F103" s="140"/>
      <c r="G103" s="211" t="s">
        <v>1324</v>
      </c>
      <c r="H103" s="140"/>
      <c r="I103" s="211" t="s">
        <v>1324</v>
      </c>
      <c r="J103" s="140"/>
      <c r="K103" s="211" t="s">
        <v>1324</v>
      </c>
      <c r="L103" s="212"/>
      <c r="M103" s="212" t="s">
        <v>2</v>
      </c>
      <c r="N103" s="212" t="s">
        <v>1410</v>
      </c>
    </row>
    <row r="104" spans="1:14" s="155" customFormat="1">
      <c r="A104" s="208" t="s">
        <v>1206</v>
      </c>
      <c r="B104" s="209">
        <v>1.1000000000000001</v>
      </c>
      <c r="C104" s="210" t="str">
        <f>IF(AND('Client PICS'!I$118="Yes",'Client PICS'!I$119="Yes"),"Yes","No")</f>
        <v>No</v>
      </c>
      <c r="D104" s="140" t="s">
        <v>71</v>
      </c>
      <c r="E104" s="211" t="s">
        <v>351</v>
      </c>
      <c r="F104" s="140" t="s">
        <v>1124</v>
      </c>
      <c r="G104" s="211" t="s">
        <v>352</v>
      </c>
      <c r="H104" s="140"/>
      <c r="I104" s="211" t="s">
        <v>1324</v>
      </c>
      <c r="J104" s="140"/>
      <c r="K104" s="211" t="s">
        <v>1324</v>
      </c>
      <c r="L104" s="212"/>
      <c r="M104" s="212" t="s">
        <v>2</v>
      </c>
      <c r="N104" s="212" t="s">
        <v>1410</v>
      </c>
    </row>
    <row r="105" spans="1:14" s="155" customFormat="1">
      <c r="A105" s="208" t="s">
        <v>1207</v>
      </c>
      <c r="B105" s="209" t="s">
        <v>929</v>
      </c>
      <c r="C105" s="210" t="str">
        <f>IF(OR('Client PICS'!I$132="Yes",'Client PICS'!I$135="Yes",'Client PICS'!I$136="Yes",'Client PICS'!I$139="Yes"),"Yes","No")</f>
        <v>No</v>
      </c>
      <c r="D105" s="140" t="s">
        <v>71</v>
      </c>
      <c r="E105" s="211" t="s">
        <v>727</v>
      </c>
      <c r="F105" s="140" t="s">
        <v>1314</v>
      </c>
      <c r="G105" s="211" t="s">
        <v>729</v>
      </c>
      <c r="H105" s="140" t="s">
        <v>1314</v>
      </c>
      <c r="I105" s="211" t="s">
        <v>479</v>
      </c>
      <c r="J105" s="140" t="s">
        <v>1314</v>
      </c>
      <c r="K105" s="211" t="s">
        <v>709</v>
      </c>
      <c r="L105" s="212"/>
      <c r="M105" s="212" t="s">
        <v>2</v>
      </c>
      <c r="N105" s="212" t="s">
        <v>1411</v>
      </c>
    </row>
    <row r="106" spans="1:14" s="155" customFormat="1">
      <c r="A106" s="208" t="s">
        <v>1208</v>
      </c>
      <c r="B106" s="209" t="s">
        <v>929</v>
      </c>
      <c r="C106" s="210" t="str">
        <f>IF('Client PICS'!I$133="Yes","Yes","No")</f>
        <v>No</v>
      </c>
      <c r="D106" s="140" t="s">
        <v>71</v>
      </c>
      <c r="E106" s="211" t="s">
        <v>429</v>
      </c>
      <c r="F106" s="140"/>
      <c r="G106" s="211" t="s">
        <v>1324</v>
      </c>
      <c r="H106" s="140"/>
      <c r="I106" s="211" t="s">
        <v>1324</v>
      </c>
      <c r="J106" s="140"/>
      <c r="K106" s="211" t="s">
        <v>1324</v>
      </c>
      <c r="L106" s="212"/>
      <c r="M106" s="212" t="s">
        <v>2</v>
      </c>
      <c r="N106" s="212" t="s">
        <v>1411</v>
      </c>
    </row>
    <row r="107" spans="1:14" s="155" customFormat="1">
      <c r="A107" s="208" t="s">
        <v>1209</v>
      </c>
      <c r="B107" s="209" t="s">
        <v>929</v>
      </c>
      <c r="C107" s="210" t="str">
        <f>IF(AND('Client PICS'!I$130="Yes",'Client PICS'!I$132="Yes",NOT('Client PICS'!I$137="Yes")),"Yes","No")</f>
        <v>No</v>
      </c>
      <c r="D107" s="140" t="s">
        <v>71</v>
      </c>
      <c r="E107" s="211" t="s">
        <v>428</v>
      </c>
      <c r="F107" s="140" t="s">
        <v>1124</v>
      </c>
      <c r="G107" s="211" t="s">
        <v>727</v>
      </c>
      <c r="H107" s="140" t="s">
        <v>1315</v>
      </c>
      <c r="I107" s="211" t="s">
        <v>708</v>
      </c>
      <c r="J107" s="140"/>
      <c r="K107" s="211" t="s">
        <v>1324</v>
      </c>
      <c r="L107" s="212"/>
      <c r="M107" s="212" t="s">
        <v>2</v>
      </c>
      <c r="N107" s="212" t="s">
        <v>1411</v>
      </c>
    </row>
    <row r="108" spans="1:14" s="155" customFormat="1">
      <c r="A108" s="208" t="s">
        <v>1210</v>
      </c>
      <c r="B108" s="214" t="s">
        <v>2104</v>
      </c>
      <c r="C108" s="210" t="s">
        <v>89</v>
      </c>
      <c r="D108" s="215" t="s">
        <v>3</v>
      </c>
      <c r="E108" s="211" t="s">
        <v>330</v>
      </c>
      <c r="F108" s="140"/>
      <c r="G108" s="211" t="s">
        <v>1324</v>
      </c>
      <c r="H108" s="140"/>
      <c r="I108" s="211" t="s">
        <v>1324</v>
      </c>
      <c r="J108" s="140"/>
      <c r="K108" s="211" t="s">
        <v>1324</v>
      </c>
      <c r="L108" s="212"/>
      <c r="M108" s="212" t="s">
        <v>2</v>
      </c>
      <c r="N108" s="212" t="s">
        <v>1411</v>
      </c>
    </row>
    <row r="109" spans="1:14" s="155" customFormat="1">
      <c r="A109" s="208" t="s">
        <v>1435</v>
      </c>
      <c r="B109" s="209" t="s">
        <v>929</v>
      </c>
      <c r="C109" s="210" t="str">
        <f>IF(OR('Client PICS'!I$134="Yes",'Client PICS'!I$131="Yes",'Client PICS'!I$138="Yes"),"Yes","No")</f>
        <v>No</v>
      </c>
      <c r="D109" s="140" t="s">
        <v>71</v>
      </c>
      <c r="E109" s="211" t="s">
        <v>728</v>
      </c>
      <c r="F109" s="140" t="s">
        <v>1314</v>
      </c>
      <c r="G109" s="211" t="s">
        <v>726</v>
      </c>
      <c r="H109" s="140" t="s">
        <v>1314</v>
      </c>
      <c r="I109" s="211" t="s">
        <v>360</v>
      </c>
      <c r="J109" s="140"/>
      <c r="K109" s="211" t="s">
        <v>1324</v>
      </c>
      <c r="L109" s="212"/>
      <c r="M109" s="212" t="s">
        <v>2</v>
      </c>
      <c r="N109" s="212" t="s">
        <v>1412</v>
      </c>
    </row>
    <row r="110" spans="1:14" s="155" customFormat="1">
      <c r="A110" s="208" t="s">
        <v>1211</v>
      </c>
      <c r="B110" s="209" t="s">
        <v>929</v>
      </c>
      <c r="C110" s="210" t="str">
        <f>IF('Client PICS'!I$133="Yes","Yes","No")</f>
        <v>No</v>
      </c>
      <c r="D110" s="140" t="s">
        <v>71</v>
      </c>
      <c r="E110" s="211" t="s">
        <v>429</v>
      </c>
      <c r="F110" s="140"/>
      <c r="G110" s="211" t="s">
        <v>1324</v>
      </c>
      <c r="H110" s="140"/>
      <c r="I110" s="211" t="s">
        <v>1324</v>
      </c>
      <c r="J110" s="140"/>
      <c r="K110" s="211" t="s">
        <v>1324</v>
      </c>
      <c r="L110" s="212"/>
      <c r="M110" s="212" t="s">
        <v>2</v>
      </c>
      <c r="N110" s="212" t="s">
        <v>1412</v>
      </c>
    </row>
    <row r="111" spans="1:14" s="155" customFormat="1">
      <c r="A111" s="208" t="s">
        <v>1212</v>
      </c>
      <c r="B111" s="209" t="s">
        <v>929</v>
      </c>
      <c r="C111" s="210" t="str">
        <f>IF(OR('Client PICS'!I$130="Yes",'Client PICS'!I$137="Yes"),"Yes","No")</f>
        <v>No</v>
      </c>
      <c r="D111" s="140" t="s">
        <v>71</v>
      </c>
      <c r="E111" s="211" t="s">
        <v>428</v>
      </c>
      <c r="F111" s="140" t="s">
        <v>1314</v>
      </c>
      <c r="G111" s="211" t="s">
        <v>708</v>
      </c>
      <c r="H111" s="140"/>
      <c r="I111" s="211" t="s">
        <v>1324</v>
      </c>
      <c r="J111" s="140"/>
      <c r="K111" s="211" t="s">
        <v>1324</v>
      </c>
      <c r="L111" s="212"/>
      <c r="M111" s="212" t="s">
        <v>2</v>
      </c>
      <c r="N111" s="212" t="s">
        <v>1412</v>
      </c>
    </row>
    <row r="112" spans="1:14" s="155" customFormat="1">
      <c r="A112" s="208" t="s">
        <v>1213</v>
      </c>
      <c r="B112" s="209" t="s">
        <v>1849</v>
      </c>
      <c r="C112" s="210" t="s">
        <v>89</v>
      </c>
      <c r="D112" s="140" t="s">
        <v>3</v>
      </c>
      <c r="E112" s="211" t="s">
        <v>330</v>
      </c>
      <c r="F112" s="140"/>
      <c r="G112" s="211" t="s">
        <v>1324</v>
      </c>
      <c r="H112" s="140"/>
      <c r="I112" s="211" t="s">
        <v>1324</v>
      </c>
      <c r="J112" s="140"/>
      <c r="K112" s="211" t="s">
        <v>1324</v>
      </c>
      <c r="L112" s="212"/>
      <c r="M112" s="212" t="s">
        <v>2</v>
      </c>
      <c r="N112" s="212" t="s">
        <v>1413</v>
      </c>
    </row>
    <row r="113" spans="1:14" s="155" customFormat="1">
      <c r="A113" s="208" t="s">
        <v>1214</v>
      </c>
      <c r="B113" s="209" t="s">
        <v>1849</v>
      </c>
      <c r="C113" s="210" t="s">
        <v>89</v>
      </c>
      <c r="D113" s="140" t="s">
        <v>3</v>
      </c>
      <c r="E113" s="211" t="s">
        <v>330</v>
      </c>
      <c r="F113" s="140"/>
      <c r="G113" s="211" t="s">
        <v>1324</v>
      </c>
      <c r="H113" s="140"/>
      <c r="I113" s="211" t="s">
        <v>1324</v>
      </c>
      <c r="J113" s="140"/>
      <c r="K113" s="211" t="s">
        <v>1324</v>
      </c>
      <c r="L113" s="212"/>
      <c r="M113" s="212" t="s">
        <v>2</v>
      </c>
      <c r="N113" s="212" t="s">
        <v>1413</v>
      </c>
    </row>
    <row r="114" spans="1:14" s="155" customFormat="1">
      <c r="A114" s="208" t="s">
        <v>1215</v>
      </c>
      <c r="B114" s="209" t="s">
        <v>1849</v>
      </c>
      <c r="C114" s="210" t="s">
        <v>89</v>
      </c>
      <c r="D114" s="140" t="s">
        <v>3</v>
      </c>
      <c r="E114" s="211" t="s">
        <v>330</v>
      </c>
      <c r="F114" s="140"/>
      <c r="G114" s="211" t="s">
        <v>1324</v>
      </c>
      <c r="H114" s="140"/>
      <c r="I114" s="211" t="s">
        <v>1324</v>
      </c>
      <c r="J114" s="140"/>
      <c r="K114" s="211" t="s">
        <v>1324</v>
      </c>
      <c r="L114" s="212"/>
      <c r="M114" s="212" t="s">
        <v>2</v>
      </c>
      <c r="N114" s="212" t="s">
        <v>1413</v>
      </c>
    </row>
    <row r="115" spans="1:14" s="155" customFormat="1">
      <c r="A115" s="208" t="s">
        <v>1216</v>
      </c>
      <c r="B115" s="209">
        <v>1.1000000000000001</v>
      </c>
      <c r="C115" s="210" t="str">
        <f>IF(AND('Client PICS'!I$196="Yes",'Client PICS'!I$122="Yes"),"Yes","No")</f>
        <v>No</v>
      </c>
      <c r="D115" s="140" t="s">
        <v>71</v>
      </c>
      <c r="E115" s="211" t="s">
        <v>422</v>
      </c>
      <c r="F115" s="140" t="s">
        <v>1124</v>
      </c>
      <c r="G115" s="211" t="s">
        <v>354</v>
      </c>
      <c r="H115" s="140"/>
      <c r="I115" s="211" t="s">
        <v>1324</v>
      </c>
      <c r="J115" s="140"/>
      <c r="K115" s="211" t="s">
        <v>1324</v>
      </c>
      <c r="L115" s="212"/>
      <c r="M115" s="212" t="s">
        <v>2</v>
      </c>
      <c r="N115" s="212" t="s">
        <v>1414</v>
      </c>
    </row>
    <row r="116" spans="1:14" s="155" customFormat="1">
      <c r="A116" s="208" t="s">
        <v>1533</v>
      </c>
      <c r="B116" s="209" t="s">
        <v>1518</v>
      </c>
      <c r="C116" s="210" t="str">
        <f>IF(AND('Client PICS'!I$196="Yes",'Client PICS'!I$121="Yes"),"Yes","No")</f>
        <v>No</v>
      </c>
      <c r="D116" s="140" t="s">
        <v>71</v>
      </c>
      <c r="E116" s="211" t="s">
        <v>422</v>
      </c>
      <c r="F116" s="140" t="s">
        <v>1124</v>
      </c>
      <c r="G116" s="211" t="s">
        <v>353</v>
      </c>
      <c r="H116" s="140"/>
      <c r="I116" s="211" t="s">
        <v>1324</v>
      </c>
      <c r="J116" s="140"/>
      <c r="K116" s="211" t="s">
        <v>1324</v>
      </c>
      <c r="L116" s="212"/>
      <c r="M116" s="212" t="s">
        <v>2</v>
      </c>
      <c r="N116" s="212" t="s">
        <v>1414</v>
      </c>
    </row>
    <row r="117" spans="1:14" s="155" customFormat="1">
      <c r="A117" s="208" t="s">
        <v>1534</v>
      </c>
      <c r="B117" s="209" t="s">
        <v>1849</v>
      </c>
      <c r="C117" s="210" t="str">
        <f>IF(AND('Client PICS'!I$196="Yes",'Client PICS'!I$121="Yes"),"Yes","No")</f>
        <v>No</v>
      </c>
      <c r="D117" s="140" t="s">
        <v>71</v>
      </c>
      <c r="E117" s="211" t="s">
        <v>422</v>
      </c>
      <c r="F117" s="140" t="s">
        <v>1124</v>
      </c>
      <c r="G117" s="211" t="s">
        <v>353</v>
      </c>
      <c r="H117" s="140"/>
      <c r="I117" s="211" t="s">
        <v>1324</v>
      </c>
      <c r="J117" s="140"/>
      <c r="K117" s="211" t="s">
        <v>1324</v>
      </c>
      <c r="L117" s="212"/>
      <c r="M117" s="212" t="s">
        <v>2</v>
      </c>
      <c r="N117" s="212" t="s">
        <v>1414</v>
      </c>
    </row>
    <row r="118" spans="1:14" s="155" customFormat="1">
      <c r="A118" s="208" t="s">
        <v>1535</v>
      </c>
      <c r="B118" s="209" t="s">
        <v>1849</v>
      </c>
      <c r="C118" s="210" t="str">
        <f>IF(AND('Client PICS'!I$196="Yes",'Client PICS'!I$121="Yes",'Client PICS'!I$126="Yes"),"Yes","No")</f>
        <v>No</v>
      </c>
      <c r="D118" s="140" t="s">
        <v>71</v>
      </c>
      <c r="E118" s="211" t="s">
        <v>422</v>
      </c>
      <c r="F118" s="140" t="s">
        <v>1124</v>
      </c>
      <c r="G118" s="211" t="s">
        <v>353</v>
      </c>
      <c r="H118" s="140" t="s">
        <v>1124</v>
      </c>
      <c r="I118" s="211" t="s">
        <v>1536</v>
      </c>
      <c r="J118" s="140"/>
      <c r="K118" s="211" t="s">
        <v>1324</v>
      </c>
      <c r="L118" s="212"/>
      <c r="M118" s="212" t="s">
        <v>2</v>
      </c>
      <c r="N118" s="212" t="s">
        <v>1414</v>
      </c>
    </row>
    <row r="119" spans="1:14" s="155" customFormat="1">
      <c r="A119" s="208" t="s">
        <v>1317</v>
      </c>
      <c r="B119" s="214" t="s">
        <v>2139</v>
      </c>
      <c r="C119" s="245" t="str">
        <f>IF(AND('Client PICS'!I$156="Yes",'Client PICS'!I$18="Yes"),"Yes","No")</f>
        <v>No</v>
      </c>
      <c r="D119" s="140" t="s">
        <v>71</v>
      </c>
      <c r="E119" s="211" t="s">
        <v>366</v>
      </c>
      <c r="F119" s="140" t="s">
        <v>1124</v>
      </c>
      <c r="G119" s="171" t="s">
        <v>2143</v>
      </c>
      <c r="H119" s="140"/>
      <c r="I119" s="211" t="s">
        <v>1324</v>
      </c>
      <c r="J119" s="140"/>
      <c r="K119" s="211" t="s">
        <v>1324</v>
      </c>
      <c r="L119" s="212"/>
      <c r="M119" s="212" t="s">
        <v>129</v>
      </c>
      <c r="N119" s="212" t="s">
        <v>1398</v>
      </c>
    </row>
    <row r="120" spans="1:14" s="155" customFormat="1">
      <c r="A120" s="208" t="s">
        <v>1318</v>
      </c>
      <c r="B120" s="214" t="s">
        <v>2139</v>
      </c>
      <c r="C120" s="245" t="str">
        <f>IF(AND('Client PICS'!I$157="Yes",'Client PICS'!I$18="Yes"),"Yes","No")</f>
        <v>No</v>
      </c>
      <c r="D120" s="140" t="s">
        <v>71</v>
      </c>
      <c r="E120" s="211" t="s">
        <v>367</v>
      </c>
      <c r="F120" s="140" t="s">
        <v>1124</v>
      </c>
      <c r="G120" s="171" t="s">
        <v>2143</v>
      </c>
      <c r="H120" s="140"/>
      <c r="I120" s="211" t="s">
        <v>1324</v>
      </c>
      <c r="J120" s="140"/>
      <c r="K120" s="211" t="s">
        <v>1324</v>
      </c>
      <c r="L120" s="212"/>
      <c r="M120" s="212" t="s">
        <v>129</v>
      </c>
      <c r="N120" s="212" t="s">
        <v>1398</v>
      </c>
    </row>
    <row r="121" spans="1:14" s="155" customFormat="1">
      <c r="A121" s="208" t="s">
        <v>1217</v>
      </c>
      <c r="B121" s="209">
        <v>1.1000000000000001</v>
      </c>
      <c r="C121" s="210" t="str">
        <f>IF('Client PICS'!I$144="Yes","Yes","No")</f>
        <v>No</v>
      </c>
      <c r="D121" s="140" t="s">
        <v>71</v>
      </c>
      <c r="E121" s="211" t="s">
        <v>361</v>
      </c>
      <c r="F121" s="140"/>
      <c r="G121" s="211" t="s">
        <v>1324</v>
      </c>
      <c r="H121" s="140"/>
      <c r="I121" s="211" t="s">
        <v>1324</v>
      </c>
      <c r="J121" s="140"/>
      <c r="K121" s="211" t="s">
        <v>1324</v>
      </c>
      <c r="L121" s="212"/>
      <c r="M121" s="212" t="s">
        <v>129</v>
      </c>
      <c r="N121" s="212" t="s">
        <v>1415</v>
      </c>
    </row>
    <row r="122" spans="1:14" s="155" customFormat="1">
      <c r="A122" s="208" t="s">
        <v>1218</v>
      </c>
      <c r="B122" s="209">
        <v>1.1000000000000001</v>
      </c>
      <c r="C122" s="210" t="str">
        <f>IF('Client PICS'!I$145="Yes","Yes","No")</f>
        <v>No</v>
      </c>
      <c r="D122" s="140" t="s">
        <v>71</v>
      </c>
      <c r="E122" s="211" t="s">
        <v>362</v>
      </c>
      <c r="F122" s="140"/>
      <c r="G122" s="211" t="s">
        <v>1324</v>
      </c>
      <c r="H122" s="140"/>
      <c r="I122" s="211" t="s">
        <v>1324</v>
      </c>
      <c r="J122" s="140"/>
      <c r="K122" s="211" t="s">
        <v>1324</v>
      </c>
      <c r="L122" s="212"/>
      <c r="M122" s="212" t="s">
        <v>129</v>
      </c>
      <c r="N122" s="212" t="s">
        <v>1415</v>
      </c>
    </row>
    <row r="123" spans="1:14" s="155" customFormat="1">
      <c r="A123" s="208" t="s">
        <v>1219</v>
      </c>
      <c r="B123" s="209">
        <v>1.1000000000000001</v>
      </c>
      <c r="C123" s="210" t="s">
        <v>89</v>
      </c>
      <c r="D123" s="140" t="s">
        <v>3</v>
      </c>
      <c r="E123" s="211" t="s">
        <v>588</v>
      </c>
      <c r="F123" s="140"/>
      <c r="G123" s="211" t="s">
        <v>1324</v>
      </c>
      <c r="H123" s="140"/>
      <c r="I123" s="211" t="s">
        <v>1324</v>
      </c>
      <c r="J123" s="140"/>
      <c r="K123" s="211" t="s">
        <v>1324</v>
      </c>
      <c r="L123" s="212"/>
      <c r="M123" s="212" t="s">
        <v>129</v>
      </c>
      <c r="N123" s="212" t="s">
        <v>1415</v>
      </c>
    </row>
    <row r="124" spans="1:14" s="155" customFormat="1">
      <c r="A124" s="208" t="s">
        <v>1320</v>
      </c>
      <c r="B124" s="209" t="s">
        <v>1845</v>
      </c>
      <c r="C124" s="210" t="str">
        <f>IF('Client PICS'!I$147="Yes","Yes","No")</f>
        <v>No</v>
      </c>
      <c r="D124" s="140" t="s">
        <v>71</v>
      </c>
      <c r="E124" s="211" t="s">
        <v>403</v>
      </c>
      <c r="F124" s="140"/>
      <c r="G124" s="211" t="s">
        <v>1324</v>
      </c>
      <c r="H124" s="140"/>
      <c r="I124" s="211" t="s">
        <v>1324</v>
      </c>
      <c r="J124" s="140"/>
      <c r="K124" s="211" t="s">
        <v>1324</v>
      </c>
      <c r="L124" s="212"/>
      <c r="M124" s="212" t="s">
        <v>129</v>
      </c>
      <c r="N124" s="212" t="s">
        <v>52</v>
      </c>
    </row>
    <row r="125" spans="1:14" s="155" customFormat="1">
      <c r="A125" s="208" t="s">
        <v>1220</v>
      </c>
      <c r="B125" s="209" t="s">
        <v>2006</v>
      </c>
      <c r="C125" s="210" t="str">
        <f>IF('Client PICS'!I$147="Yes","Yes","No")</f>
        <v>No</v>
      </c>
      <c r="D125" s="140" t="s">
        <v>71</v>
      </c>
      <c r="E125" s="211" t="s">
        <v>403</v>
      </c>
      <c r="F125" s="140"/>
      <c r="G125" s="211" t="s">
        <v>1324</v>
      </c>
      <c r="H125" s="140"/>
      <c r="I125" s="211" t="s">
        <v>1324</v>
      </c>
      <c r="J125" s="140"/>
      <c r="K125" s="211" t="s">
        <v>1324</v>
      </c>
      <c r="L125" s="212"/>
      <c r="M125" s="212" t="s">
        <v>129</v>
      </c>
      <c r="N125" s="212" t="s">
        <v>52</v>
      </c>
    </row>
    <row r="126" spans="1:14" s="155" customFormat="1">
      <c r="A126" s="208" t="s">
        <v>1221</v>
      </c>
      <c r="B126" s="209" t="s">
        <v>2006</v>
      </c>
      <c r="C126" s="210" t="str">
        <f>IF(AND('Client PICS'!I$147="Yes",'Client PICS'!I$149="Yes"),"Yes","No")</f>
        <v>No</v>
      </c>
      <c r="D126" s="140" t="s">
        <v>71</v>
      </c>
      <c r="E126" s="211" t="s">
        <v>403</v>
      </c>
      <c r="F126" s="140" t="s">
        <v>1124</v>
      </c>
      <c r="G126" s="211" t="s">
        <v>364</v>
      </c>
      <c r="H126" s="140"/>
      <c r="I126" s="211" t="s">
        <v>1324</v>
      </c>
      <c r="J126" s="140"/>
      <c r="K126" s="211" t="s">
        <v>1324</v>
      </c>
      <c r="L126" s="212"/>
      <c r="M126" s="212" t="s">
        <v>129</v>
      </c>
      <c r="N126" s="212" t="s">
        <v>52</v>
      </c>
    </row>
    <row r="127" spans="1:14" s="155" customFormat="1">
      <c r="A127" s="208" t="s">
        <v>1222</v>
      </c>
      <c r="B127" s="209" t="s">
        <v>2006</v>
      </c>
      <c r="C127" s="210" t="str">
        <f>IF(AND('Client PICS'!I$147="Yes",'Client PICS'!I$148="Yes"),"Yes","No")</f>
        <v>No</v>
      </c>
      <c r="D127" s="140" t="s">
        <v>71</v>
      </c>
      <c r="E127" s="211" t="s">
        <v>403</v>
      </c>
      <c r="F127" s="140" t="s">
        <v>1124</v>
      </c>
      <c r="G127" s="211" t="s">
        <v>363</v>
      </c>
      <c r="H127" s="140"/>
      <c r="I127" s="211" t="s">
        <v>1324</v>
      </c>
      <c r="J127" s="140"/>
      <c r="K127" s="211" t="s">
        <v>1324</v>
      </c>
      <c r="L127" s="212"/>
      <c r="M127" s="212" t="s">
        <v>129</v>
      </c>
      <c r="N127" s="212" t="s">
        <v>52</v>
      </c>
    </row>
    <row r="128" spans="1:14" s="155" customFormat="1">
      <c r="A128" s="208" t="s">
        <v>1842</v>
      </c>
      <c r="B128" s="209" t="s">
        <v>2066</v>
      </c>
      <c r="C128" s="210" t="str">
        <f>IF(AND('Client PICS'!I$147="Yes",'Client PICS'!I$152="Yes",'Client PICS'!I$153="Yes",'Client PICS'!I$154="Yes"),"Yes","No")</f>
        <v>No</v>
      </c>
      <c r="D128" s="140" t="s">
        <v>71</v>
      </c>
      <c r="E128" s="211" t="s">
        <v>403</v>
      </c>
      <c r="F128" s="140" t="s">
        <v>1124</v>
      </c>
      <c r="G128" s="211" t="s">
        <v>1744</v>
      </c>
      <c r="H128" s="140" t="s">
        <v>1124</v>
      </c>
      <c r="I128" s="211" t="s">
        <v>2063</v>
      </c>
      <c r="J128" s="140" t="s">
        <v>1124</v>
      </c>
      <c r="K128" s="211" t="s">
        <v>2064</v>
      </c>
      <c r="L128" s="212"/>
      <c r="M128" s="212" t="s">
        <v>129</v>
      </c>
      <c r="N128" s="212" t="s">
        <v>52</v>
      </c>
    </row>
    <row r="129" spans="1:14" s="155" customFormat="1">
      <c r="A129" s="208" t="s">
        <v>1843</v>
      </c>
      <c r="B129" s="209" t="s">
        <v>2066</v>
      </c>
      <c r="C129" s="210" t="str">
        <f>IF(AND('Client PICS'!I$147="Yes",'Client PICS'!I$152="Yes",'Client PICS'!I$154="Yes"),"Yes","No")</f>
        <v>No</v>
      </c>
      <c r="D129" s="140" t="s">
        <v>71</v>
      </c>
      <c r="E129" s="211" t="s">
        <v>403</v>
      </c>
      <c r="F129" s="140" t="s">
        <v>1124</v>
      </c>
      <c r="G129" s="138" t="s">
        <v>1744</v>
      </c>
      <c r="H129" s="140" t="s">
        <v>1124</v>
      </c>
      <c r="I129" s="211" t="s">
        <v>2064</v>
      </c>
      <c r="J129" s="140"/>
      <c r="K129" s="211"/>
      <c r="L129" s="212"/>
      <c r="M129" s="212" t="s">
        <v>129</v>
      </c>
      <c r="N129" s="212" t="s">
        <v>52</v>
      </c>
    </row>
    <row r="130" spans="1:14" s="155" customFormat="1">
      <c r="A130" s="208" t="s">
        <v>1844</v>
      </c>
      <c r="B130" s="209" t="s">
        <v>2006</v>
      </c>
      <c r="C130" s="210" t="str">
        <f>IF(AND('Client PICS'!I$147="Yes",'Client PICS'!I$152="Yes"),"Yes","No")</f>
        <v>No</v>
      </c>
      <c r="D130" s="140" t="s">
        <v>71</v>
      </c>
      <c r="E130" s="211" t="s">
        <v>403</v>
      </c>
      <c r="F130" s="140" t="s">
        <v>1124</v>
      </c>
      <c r="G130" s="138" t="s">
        <v>1744</v>
      </c>
      <c r="H130" s="140"/>
      <c r="I130" s="213"/>
      <c r="J130" s="140"/>
      <c r="K130" s="211"/>
      <c r="L130" s="212"/>
      <c r="M130" s="212" t="s">
        <v>129</v>
      </c>
      <c r="N130" s="212" t="s">
        <v>52</v>
      </c>
    </row>
    <row r="131" spans="1:14" s="155" customFormat="1">
      <c r="A131" s="208" t="s">
        <v>1745</v>
      </c>
      <c r="B131" s="209" t="s">
        <v>2006</v>
      </c>
      <c r="C131" s="210" t="str">
        <f>IF(AND('Client PICS'!I$147="Yes",'Client PICS'!I$155="Yes"),"Yes","No")</f>
        <v>No</v>
      </c>
      <c r="D131" s="140" t="s">
        <v>71</v>
      </c>
      <c r="E131" s="211" t="s">
        <v>403</v>
      </c>
      <c r="F131" s="140" t="s">
        <v>1124</v>
      </c>
      <c r="G131" s="138" t="s">
        <v>2010</v>
      </c>
      <c r="H131" s="140"/>
      <c r="I131" s="211"/>
      <c r="J131" s="140"/>
      <c r="K131" s="211"/>
      <c r="L131" s="212"/>
      <c r="M131" s="212" t="s">
        <v>129</v>
      </c>
      <c r="N131" s="212" t="s">
        <v>52</v>
      </c>
    </row>
    <row r="132" spans="1:14" s="155" customFormat="1">
      <c r="A132" s="208" t="s">
        <v>1319</v>
      </c>
      <c r="B132" s="209" t="s">
        <v>1845</v>
      </c>
      <c r="C132" s="210" t="s">
        <v>89</v>
      </c>
      <c r="D132" s="140" t="s">
        <v>3</v>
      </c>
      <c r="E132" s="211" t="s">
        <v>542</v>
      </c>
      <c r="F132" s="140"/>
      <c r="G132" s="211" t="s">
        <v>1324</v>
      </c>
      <c r="H132" s="140"/>
      <c r="I132" s="211" t="s">
        <v>1324</v>
      </c>
      <c r="J132" s="140"/>
      <c r="K132" s="211" t="s">
        <v>1324</v>
      </c>
      <c r="L132" s="212"/>
      <c r="M132" s="212" t="s">
        <v>129</v>
      </c>
      <c r="N132" s="212" t="s">
        <v>51</v>
      </c>
    </row>
    <row r="133" spans="1:14" s="155" customFormat="1">
      <c r="A133" s="208" t="s">
        <v>1223</v>
      </c>
      <c r="B133" s="209" t="s">
        <v>1845</v>
      </c>
      <c r="C133" s="210" t="s">
        <v>89</v>
      </c>
      <c r="D133" s="140" t="s">
        <v>3</v>
      </c>
      <c r="E133" s="211" t="s">
        <v>542</v>
      </c>
      <c r="F133" s="140"/>
      <c r="G133" s="211" t="s">
        <v>1324</v>
      </c>
      <c r="H133" s="140"/>
      <c r="I133" s="211" t="s">
        <v>1324</v>
      </c>
      <c r="J133" s="140"/>
      <c r="K133" s="211" t="s">
        <v>1324</v>
      </c>
      <c r="L133" s="212"/>
      <c r="M133" s="212" t="s">
        <v>129</v>
      </c>
      <c r="N133" s="212" t="s">
        <v>51</v>
      </c>
    </row>
    <row r="134" spans="1:14" s="155" customFormat="1">
      <c r="A134" s="208" t="s">
        <v>1224</v>
      </c>
      <c r="B134" s="209">
        <v>1.1000000000000001</v>
      </c>
      <c r="C134" s="210" t="s">
        <v>89</v>
      </c>
      <c r="D134" s="140" t="s">
        <v>3</v>
      </c>
      <c r="E134" s="211" t="s">
        <v>542</v>
      </c>
      <c r="F134" s="140"/>
      <c r="G134" s="211" t="s">
        <v>1324</v>
      </c>
      <c r="H134" s="140"/>
      <c r="I134" s="211" t="s">
        <v>1324</v>
      </c>
      <c r="J134" s="140"/>
      <c r="K134" s="211" t="s">
        <v>1324</v>
      </c>
      <c r="L134" s="212"/>
      <c r="M134" s="212" t="s">
        <v>129</v>
      </c>
      <c r="N134" s="212" t="s">
        <v>51</v>
      </c>
    </row>
    <row r="135" spans="1:14" s="155" customFormat="1">
      <c r="A135" s="208" t="s">
        <v>1225</v>
      </c>
      <c r="B135" s="209">
        <v>1.1000000000000001</v>
      </c>
      <c r="C135" s="210" t="str">
        <f>IF('Client PICS'!I$144="Yes","Yes","No")</f>
        <v>No</v>
      </c>
      <c r="D135" s="140" t="s">
        <v>71</v>
      </c>
      <c r="E135" s="211" t="s">
        <v>361</v>
      </c>
      <c r="F135" s="140"/>
      <c r="G135" s="211" t="s">
        <v>1324</v>
      </c>
      <c r="H135" s="140"/>
      <c r="I135" s="211" t="s">
        <v>1324</v>
      </c>
      <c r="J135" s="140"/>
      <c r="K135" s="211" t="s">
        <v>1324</v>
      </c>
      <c r="L135" s="212"/>
      <c r="M135" s="212" t="s">
        <v>129</v>
      </c>
      <c r="N135" s="212" t="s">
        <v>51</v>
      </c>
    </row>
    <row r="136" spans="1:14" s="155" customFormat="1">
      <c r="A136" s="208" t="s">
        <v>1226</v>
      </c>
      <c r="B136" s="209">
        <v>1.1000000000000001</v>
      </c>
      <c r="C136" s="210" t="s">
        <v>89</v>
      </c>
      <c r="D136" s="140" t="s">
        <v>3</v>
      </c>
      <c r="E136" s="211" t="s">
        <v>588</v>
      </c>
      <c r="F136" s="140"/>
      <c r="G136" s="211" t="s">
        <v>1324</v>
      </c>
      <c r="H136" s="140"/>
      <c r="I136" s="211" t="s">
        <v>1324</v>
      </c>
      <c r="J136" s="140"/>
      <c r="K136" s="211" t="s">
        <v>1324</v>
      </c>
      <c r="L136" s="212"/>
      <c r="M136" s="212" t="s">
        <v>129</v>
      </c>
      <c r="N136" s="212" t="s">
        <v>51</v>
      </c>
    </row>
    <row r="137" spans="1:14" s="155" customFormat="1">
      <c r="A137" s="208" t="s">
        <v>1227</v>
      </c>
      <c r="B137" s="209">
        <v>1.1000000000000001</v>
      </c>
      <c r="C137" s="210" t="str">
        <f>IF('Client PICS'!I$145="Yes","Yes","No")</f>
        <v>No</v>
      </c>
      <c r="D137" s="140" t="s">
        <v>71</v>
      </c>
      <c r="E137" s="211" t="s">
        <v>362</v>
      </c>
      <c r="F137" s="140"/>
      <c r="G137" s="211" t="s">
        <v>1324</v>
      </c>
      <c r="H137" s="140"/>
      <c r="I137" s="211" t="s">
        <v>1324</v>
      </c>
      <c r="J137" s="140"/>
      <c r="K137" s="211" t="s">
        <v>1324</v>
      </c>
      <c r="L137" s="212"/>
      <c r="M137" s="212" t="s">
        <v>129</v>
      </c>
      <c r="N137" s="212" t="s">
        <v>51</v>
      </c>
    </row>
    <row r="138" spans="1:14" s="155" customFormat="1">
      <c r="A138" s="208" t="s">
        <v>1228</v>
      </c>
      <c r="B138" s="209">
        <v>1.1000000000000001</v>
      </c>
      <c r="C138" s="210" t="str">
        <f>IF('Client PICS'!I$196="Yes","Yes","No")</f>
        <v>No</v>
      </c>
      <c r="D138" s="140" t="s">
        <v>71</v>
      </c>
      <c r="E138" s="211" t="s">
        <v>422</v>
      </c>
      <c r="F138" s="140"/>
      <c r="G138" s="211" t="s">
        <v>1324</v>
      </c>
      <c r="H138" s="140"/>
      <c r="I138" s="211"/>
      <c r="J138" s="140"/>
      <c r="K138" s="211" t="s">
        <v>1324</v>
      </c>
      <c r="L138" s="212"/>
      <c r="M138" s="212" t="s">
        <v>7</v>
      </c>
      <c r="N138" s="212" t="s">
        <v>6</v>
      </c>
    </row>
    <row r="139" spans="1:14" s="155" customFormat="1">
      <c r="A139" s="208" t="s">
        <v>1229</v>
      </c>
      <c r="B139" s="209">
        <v>1.1000000000000001</v>
      </c>
      <c r="C139" s="210" t="str">
        <f>IF('Client PICS'!I$196="Yes","Yes","No")</f>
        <v>No</v>
      </c>
      <c r="D139" s="140" t="s">
        <v>71</v>
      </c>
      <c r="E139" s="211" t="s">
        <v>422</v>
      </c>
      <c r="F139" s="140"/>
      <c r="G139" s="211" t="s">
        <v>1324</v>
      </c>
      <c r="H139" s="140"/>
      <c r="I139" s="211"/>
      <c r="J139" s="140"/>
      <c r="K139" s="211" t="s">
        <v>1324</v>
      </c>
      <c r="L139" s="212"/>
      <c r="M139" s="212" t="s">
        <v>7</v>
      </c>
      <c r="N139" s="212" t="s">
        <v>6</v>
      </c>
    </row>
    <row r="140" spans="1:14" s="155" customFormat="1">
      <c r="A140" s="208" t="s">
        <v>1230</v>
      </c>
      <c r="B140" s="209">
        <v>1.1000000000000001</v>
      </c>
      <c r="C140" s="210" t="str">
        <f>IF('Client PICS'!I$196="Yes","Yes","No")</f>
        <v>No</v>
      </c>
      <c r="D140" s="140" t="s">
        <v>71</v>
      </c>
      <c r="E140" s="211" t="s">
        <v>422</v>
      </c>
      <c r="F140" s="140"/>
      <c r="G140" s="211" t="s">
        <v>1324</v>
      </c>
      <c r="H140" s="140"/>
      <c r="I140" s="211"/>
      <c r="J140" s="140"/>
      <c r="K140" s="211" t="s">
        <v>1324</v>
      </c>
      <c r="L140" s="212"/>
      <c r="M140" s="212" t="s">
        <v>7</v>
      </c>
      <c r="N140" s="212" t="s">
        <v>1416</v>
      </c>
    </row>
    <row r="141" spans="1:14" s="155" customFormat="1">
      <c r="A141" s="208" t="s">
        <v>1825</v>
      </c>
      <c r="B141" s="209" t="s">
        <v>1781</v>
      </c>
      <c r="C141" s="210" t="str">
        <f>IF('Client PICS'!I$196="Yes","Yes","No")</f>
        <v>No</v>
      </c>
      <c r="D141" s="140" t="s">
        <v>71</v>
      </c>
      <c r="E141" s="211" t="s">
        <v>422</v>
      </c>
      <c r="F141" s="140"/>
      <c r="G141" s="211" t="s">
        <v>1324</v>
      </c>
      <c r="H141" s="140"/>
      <c r="I141" s="211"/>
      <c r="J141" s="140"/>
      <c r="K141" s="211" t="s">
        <v>1324</v>
      </c>
      <c r="L141" s="212"/>
      <c r="M141" s="212" t="s">
        <v>7</v>
      </c>
      <c r="N141" s="212" t="s">
        <v>1416</v>
      </c>
    </row>
    <row r="142" spans="1:14" s="155" customFormat="1">
      <c r="A142" s="208" t="s">
        <v>1826</v>
      </c>
      <c r="B142" s="209" t="s">
        <v>1781</v>
      </c>
      <c r="C142" s="210" t="str">
        <f>IF('Client PICS'!I$196="Yes","Yes","No")</f>
        <v>No</v>
      </c>
      <c r="D142" s="140" t="s">
        <v>71</v>
      </c>
      <c r="E142" s="211" t="s">
        <v>422</v>
      </c>
      <c r="F142" s="140"/>
      <c r="G142" s="211" t="s">
        <v>1324</v>
      </c>
      <c r="H142" s="140"/>
      <c r="I142" s="211"/>
      <c r="J142" s="140"/>
      <c r="K142" s="211" t="s">
        <v>1324</v>
      </c>
      <c r="L142" s="212"/>
      <c r="M142" s="212" t="s">
        <v>7</v>
      </c>
      <c r="N142" s="212" t="s">
        <v>1416</v>
      </c>
    </row>
    <row r="143" spans="1:14" s="155" customFormat="1">
      <c r="A143" s="208" t="s">
        <v>1939</v>
      </c>
      <c r="B143" s="209" t="s">
        <v>1781</v>
      </c>
      <c r="C143" s="210" t="str">
        <f>IF('Client PICS'!I$196="Yes","Yes","No")</f>
        <v>No</v>
      </c>
      <c r="D143" s="140" t="s">
        <v>71</v>
      </c>
      <c r="E143" s="211" t="s">
        <v>422</v>
      </c>
      <c r="F143" s="140"/>
      <c r="G143" s="211" t="s">
        <v>1324</v>
      </c>
      <c r="H143" s="140"/>
      <c r="I143" s="211"/>
      <c r="J143" s="140"/>
      <c r="K143" s="211" t="s">
        <v>1324</v>
      </c>
      <c r="L143" s="212"/>
      <c r="M143" s="212" t="s">
        <v>7</v>
      </c>
      <c r="N143" s="212" t="s">
        <v>1416</v>
      </c>
    </row>
    <row r="144" spans="1:14" s="155" customFormat="1">
      <c r="A144" s="208" t="s">
        <v>1962</v>
      </c>
      <c r="B144" s="209" t="s">
        <v>1959</v>
      </c>
      <c r="C144" s="210" t="str">
        <f>IF('Client PICS'!I$196="Yes","Yes","No")</f>
        <v>No</v>
      </c>
      <c r="D144" s="140" t="s">
        <v>71</v>
      </c>
      <c r="E144" s="211" t="s">
        <v>422</v>
      </c>
      <c r="F144" s="140"/>
      <c r="G144" s="211" t="s">
        <v>1324</v>
      </c>
      <c r="H144" s="140"/>
      <c r="I144" s="211"/>
      <c r="J144" s="140"/>
      <c r="K144" s="211" t="s">
        <v>1324</v>
      </c>
      <c r="L144" s="212"/>
      <c r="M144" s="212" t="s">
        <v>7</v>
      </c>
      <c r="N144" s="212" t="s">
        <v>1416</v>
      </c>
    </row>
    <row r="145" spans="1:14" s="155" customFormat="1">
      <c r="A145" s="208" t="s">
        <v>1963</v>
      </c>
      <c r="B145" s="209" t="s">
        <v>1959</v>
      </c>
      <c r="C145" s="210" t="str">
        <f>IF('Client PICS'!I$196="Yes","Yes","No")</f>
        <v>No</v>
      </c>
      <c r="D145" s="140" t="s">
        <v>71</v>
      </c>
      <c r="E145" s="211" t="s">
        <v>422</v>
      </c>
      <c r="F145" s="140"/>
      <c r="G145" s="211" t="s">
        <v>1324</v>
      </c>
      <c r="H145" s="140"/>
      <c r="I145" s="211"/>
      <c r="J145" s="140"/>
      <c r="K145" s="211" t="s">
        <v>1324</v>
      </c>
      <c r="L145" s="212"/>
      <c r="M145" s="212" t="s">
        <v>7</v>
      </c>
      <c r="N145" s="212" t="s">
        <v>1416</v>
      </c>
    </row>
    <row r="146" spans="1:14" s="155" customFormat="1">
      <c r="A146" s="208" t="s">
        <v>1964</v>
      </c>
      <c r="B146" s="209" t="s">
        <v>1959</v>
      </c>
      <c r="C146" s="210" t="str">
        <f>IF(AND('Client PICS'!I$196="Yes",'Client PICS'!I$204="Yes"),"Yes","No")</f>
        <v>No</v>
      </c>
      <c r="D146" s="140" t="s">
        <v>71</v>
      </c>
      <c r="E146" s="211" t="s">
        <v>422</v>
      </c>
      <c r="F146" s="140" t="s">
        <v>1124</v>
      </c>
      <c r="G146" s="211" t="s">
        <v>1960</v>
      </c>
      <c r="H146" s="140"/>
      <c r="I146" s="211"/>
      <c r="J146" s="140"/>
      <c r="K146" s="211" t="s">
        <v>1324</v>
      </c>
      <c r="L146" s="212"/>
      <c r="M146" s="212" t="s">
        <v>7</v>
      </c>
      <c r="N146" s="212" t="s">
        <v>1416</v>
      </c>
    </row>
    <row r="147" spans="1:14" s="155" customFormat="1">
      <c r="A147" s="208" t="s">
        <v>1940</v>
      </c>
      <c r="B147" s="209" t="s">
        <v>1781</v>
      </c>
      <c r="C147" s="210" t="str">
        <f>IF('Client PICS'!I$196="Yes","Yes","No")</f>
        <v>No</v>
      </c>
      <c r="D147" s="140" t="s">
        <v>71</v>
      </c>
      <c r="E147" s="211" t="s">
        <v>422</v>
      </c>
      <c r="F147" s="140"/>
      <c r="G147" s="211" t="s">
        <v>1324</v>
      </c>
      <c r="H147" s="140"/>
      <c r="I147" s="211" t="s">
        <v>1324</v>
      </c>
      <c r="J147" s="140"/>
      <c r="K147" s="211" t="s">
        <v>1324</v>
      </c>
      <c r="L147" s="212"/>
      <c r="M147" s="212" t="s">
        <v>7</v>
      </c>
      <c r="N147" s="212" t="s">
        <v>1416</v>
      </c>
    </row>
    <row r="148" spans="1:14" s="155" customFormat="1">
      <c r="A148" s="208" t="s">
        <v>1941</v>
      </c>
      <c r="B148" s="209" t="s">
        <v>1781</v>
      </c>
      <c r="C148" s="210" t="str">
        <f>IF('Client PICS'!I$196="Yes","Yes","No")</f>
        <v>No</v>
      </c>
      <c r="D148" s="140" t="s">
        <v>71</v>
      </c>
      <c r="E148" s="211" t="s">
        <v>422</v>
      </c>
      <c r="F148" s="140"/>
      <c r="G148" s="211" t="s">
        <v>1324</v>
      </c>
      <c r="H148" s="140"/>
      <c r="I148" s="211" t="s">
        <v>1324</v>
      </c>
      <c r="J148" s="140"/>
      <c r="K148" s="211" t="s">
        <v>1324</v>
      </c>
      <c r="L148" s="212"/>
      <c r="M148" s="212" t="s">
        <v>7</v>
      </c>
      <c r="N148" s="212" t="s">
        <v>1416</v>
      </c>
    </row>
    <row r="149" spans="1:14" s="155" customFormat="1">
      <c r="A149" s="208" t="s">
        <v>1942</v>
      </c>
      <c r="B149" s="209" t="s">
        <v>1781</v>
      </c>
      <c r="C149" s="210" t="str">
        <f>IF('Client PICS'!I$196="Yes","Yes","No")</f>
        <v>No</v>
      </c>
      <c r="D149" s="140" t="s">
        <v>71</v>
      </c>
      <c r="E149" s="211" t="s">
        <v>422</v>
      </c>
      <c r="F149" s="140"/>
      <c r="G149" s="211" t="s">
        <v>1324</v>
      </c>
      <c r="H149" s="140"/>
      <c r="I149" s="211" t="s">
        <v>1324</v>
      </c>
      <c r="J149" s="140"/>
      <c r="K149" s="211" t="s">
        <v>1324</v>
      </c>
      <c r="L149" s="212"/>
      <c r="M149" s="212" t="s">
        <v>7</v>
      </c>
      <c r="N149" s="212" t="s">
        <v>1416</v>
      </c>
    </row>
    <row r="150" spans="1:14" s="155" customFormat="1">
      <c r="A150" s="208" t="s">
        <v>1943</v>
      </c>
      <c r="B150" s="209" t="s">
        <v>1781</v>
      </c>
      <c r="C150" s="210" t="str">
        <f>IF('Client PICS'!I$196="Yes","Yes","No")</f>
        <v>No</v>
      </c>
      <c r="D150" s="140" t="s">
        <v>71</v>
      </c>
      <c r="E150" s="211" t="s">
        <v>422</v>
      </c>
      <c r="F150" s="140"/>
      <c r="G150" s="211" t="s">
        <v>1324</v>
      </c>
      <c r="H150" s="140"/>
      <c r="I150" s="211" t="s">
        <v>1324</v>
      </c>
      <c r="J150" s="140"/>
      <c r="K150" s="211" t="s">
        <v>1324</v>
      </c>
      <c r="L150" s="212"/>
      <c r="M150" s="212" t="s">
        <v>7</v>
      </c>
      <c r="N150" s="212" t="s">
        <v>1416</v>
      </c>
    </row>
    <row r="151" spans="1:14" s="155" customFormat="1">
      <c r="A151" s="208" t="s">
        <v>1322</v>
      </c>
      <c r="B151" s="209" t="s">
        <v>1595</v>
      </c>
      <c r="C151" s="210" t="str">
        <f>IF(AND('Client PICS'!I$196="Yes",'Client PICS'!I$199="Yes"),"Yes","No")</f>
        <v>No</v>
      </c>
      <c r="D151" s="140" t="s">
        <v>71</v>
      </c>
      <c r="E151" s="211" t="s">
        <v>422</v>
      </c>
      <c r="F151" s="140" t="s">
        <v>1124</v>
      </c>
      <c r="G151" s="211" t="s">
        <v>380</v>
      </c>
      <c r="H151" s="140"/>
      <c r="I151" s="211" t="s">
        <v>1324</v>
      </c>
      <c r="J151" s="140"/>
      <c r="K151" s="211" t="s">
        <v>1324</v>
      </c>
      <c r="L151" s="212"/>
      <c r="M151" s="212" t="s">
        <v>7</v>
      </c>
      <c r="N151" s="212" t="s">
        <v>1416</v>
      </c>
    </row>
    <row r="152" spans="1:14" s="155" customFormat="1">
      <c r="A152" s="208" t="s">
        <v>1596</v>
      </c>
      <c r="B152" s="209" t="s">
        <v>1595</v>
      </c>
      <c r="C152" s="210" t="str">
        <f>IF(AND('Client PICS'!I$196="Yes",'Client PICS'!I$200="Yes"),"Yes","No")</f>
        <v>No</v>
      </c>
      <c r="D152" s="140" t="s">
        <v>71</v>
      </c>
      <c r="E152" s="211" t="s">
        <v>422</v>
      </c>
      <c r="F152" s="140" t="s">
        <v>1124</v>
      </c>
      <c r="G152" s="211" t="s">
        <v>381</v>
      </c>
      <c r="H152" s="140"/>
      <c r="I152" s="211" t="s">
        <v>1324</v>
      </c>
      <c r="J152" s="140"/>
      <c r="K152" s="211" t="s">
        <v>1324</v>
      </c>
      <c r="L152" s="212"/>
      <c r="M152" s="212" t="s">
        <v>7</v>
      </c>
      <c r="N152" s="212" t="s">
        <v>1416</v>
      </c>
    </row>
    <row r="153" spans="1:14" s="155" customFormat="1">
      <c r="A153" s="208" t="s">
        <v>1737</v>
      </c>
      <c r="B153" s="209" t="s">
        <v>1595</v>
      </c>
      <c r="C153" s="210" t="str">
        <f>IF(AND('Client PICS'!I$196="Yes",'Client PICS'!I$198="Yes"),"Yes","No")</f>
        <v>No</v>
      </c>
      <c r="D153" s="140" t="s">
        <v>71</v>
      </c>
      <c r="E153" s="211" t="s">
        <v>422</v>
      </c>
      <c r="F153" s="140" t="s">
        <v>1124</v>
      </c>
      <c r="G153" s="211" t="s">
        <v>379</v>
      </c>
      <c r="H153" s="140"/>
      <c r="I153" s="211" t="s">
        <v>1324</v>
      </c>
      <c r="J153" s="140"/>
      <c r="K153" s="211" t="s">
        <v>1324</v>
      </c>
      <c r="L153" s="212"/>
      <c r="M153" s="212" t="s">
        <v>7</v>
      </c>
      <c r="N153" s="212" t="s">
        <v>1416</v>
      </c>
    </row>
    <row r="154" spans="1:14" s="155" customFormat="1">
      <c r="A154" s="208" t="s">
        <v>2070</v>
      </c>
      <c r="B154" s="209" t="s">
        <v>1959</v>
      </c>
      <c r="C154" s="210" t="s">
        <v>88</v>
      </c>
      <c r="D154" s="140" t="s">
        <v>71</v>
      </c>
      <c r="E154" s="211" t="s">
        <v>422</v>
      </c>
      <c r="F154" s="140"/>
      <c r="G154" s="211"/>
      <c r="H154" s="140"/>
      <c r="I154" s="211"/>
      <c r="J154" s="140"/>
      <c r="K154" s="211"/>
      <c r="L154" s="212"/>
      <c r="M154" s="212" t="s">
        <v>7</v>
      </c>
      <c r="N154" s="212" t="s">
        <v>2071</v>
      </c>
    </row>
    <row r="155" spans="1:14" s="155" customFormat="1">
      <c r="A155" s="208" t="s">
        <v>1231</v>
      </c>
      <c r="B155" s="209">
        <v>1.1000000000000001</v>
      </c>
      <c r="C155" s="210" t="str">
        <f>IF('Client PICS'!I$205="Yes","Yes","No")</f>
        <v>No</v>
      </c>
      <c r="D155" s="140" t="s">
        <v>71</v>
      </c>
      <c r="E155" s="211" t="s">
        <v>545</v>
      </c>
      <c r="F155" s="140"/>
      <c r="G155" s="211" t="s">
        <v>1324</v>
      </c>
      <c r="H155" s="140"/>
      <c r="I155" s="211" t="s">
        <v>1324</v>
      </c>
      <c r="J155" s="140"/>
      <c r="K155" s="211" t="s">
        <v>1324</v>
      </c>
      <c r="L155" s="212"/>
      <c r="M155" s="212" t="s">
        <v>164</v>
      </c>
      <c r="N155" s="212" t="s">
        <v>6</v>
      </c>
    </row>
    <row r="156" spans="1:14" s="155" customFormat="1">
      <c r="A156" s="208" t="s">
        <v>1232</v>
      </c>
      <c r="B156" s="209">
        <v>1.1000000000000001</v>
      </c>
      <c r="C156" s="210" t="str">
        <f>IF('Client PICS'!I$205="Yes","Yes","No")</f>
        <v>No</v>
      </c>
      <c r="D156" s="140" t="s">
        <v>71</v>
      </c>
      <c r="E156" s="211" t="s">
        <v>545</v>
      </c>
      <c r="F156" s="140"/>
      <c r="G156" s="211" t="s">
        <v>1324</v>
      </c>
      <c r="H156" s="140"/>
      <c r="I156" s="211" t="s">
        <v>1324</v>
      </c>
      <c r="J156" s="140"/>
      <c r="K156" s="211" t="s">
        <v>1324</v>
      </c>
      <c r="L156" s="212"/>
      <c r="M156" s="212" t="s">
        <v>164</v>
      </c>
      <c r="N156" s="212" t="s">
        <v>6</v>
      </c>
    </row>
    <row r="157" spans="1:14" s="155" customFormat="1">
      <c r="A157" s="208" t="s">
        <v>1233</v>
      </c>
      <c r="B157" s="209">
        <v>1.1000000000000001</v>
      </c>
      <c r="C157" s="210" t="str">
        <f>IF('Client PICS'!I$205="Yes","Yes","No")</f>
        <v>No</v>
      </c>
      <c r="D157" s="140" t="s">
        <v>71</v>
      </c>
      <c r="E157" s="211" t="s">
        <v>545</v>
      </c>
      <c r="F157" s="140"/>
      <c r="G157" s="211" t="s">
        <v>1324</v>
      </c>
      <c r="H157" s="140"/>
      <c r="I157" s="211" t="s">
        <v>1324</v>
      </c>
      <c r="J157" s="140"/>
      <c r="K157" s="211" t="s">
        <v>1324</v>
      </c>
      <c r="L157" s="212"/>
      <c r="M157" s="212" t="s">
        <v>164</v>
      </c>
      <c r="N157" s="212" t="s">
        <v>6</v>
      </c>
    </row>
    <row r="158" spans="1:14" s="155" customFormat="1">
      <c r="A158" s="208" t="s">
        <v>1234</v>
      </c>
      <c r="B158" s="209" t="s">
        <v>1030</v>
      </c>
      <c r="C158" s="210" t="str">
        <f>IF(AND('Client PICS'!I$236,'Client PICS'!I$249="Yes"),"Yes","No")</f>
        <v>No</v>
      </c>
      <c r="D158" s="140" t="s">
        <v>71</v>
      </c>
      <c r="E158" s="211" t="s">
        <v>441</v>
      </c>
      <c r="F158" s="140" t="s">
        <v>1124</v>
      </c>
      <c r="G158" s="211" t="s">
        <v>610</v>
      </c>
      <c r="H158" s="140"/>
      <c r="I158" s="211" t="s">
        <v>1324</v>
      </c>
      <c r="J158" s="140"/>
      <c r="K158" s="211" t="s">
        <v>1324</v>
      </c>
      <c r="L158" s="212"/>
      <c r="M158" s="212" t="s">
        <v>176</v>
      </c>
      <c r="N158" s="212" t="s">
        <v>1417</v>
      </c>
    </row>
    <row r="159" spans="1:14" s="155" customFormat="1">
      <c r="A159" s="208" t="s">
        <v>1235</v>
      </c>
      <c r="B159" s="209" t="s">
        <v>1030</v>
      </c>
      <c r="C159" s="210" t="str">
        <f>IF(AND('Client PICS'!I$236,'Client PICS'!I$247="Yes"),"Yes","No")</f>
        <v>No</v>
      </c>
      <c r="D159" s="140" t="s">
        <v>71</v>
      </c>
      <c r="E159" s="211" t="s">
        <v>441</v>
      </c>
      <c r="F159" s="140" t="s">
        <v>1124</v>
      </c>
      <c r="G159" s="211" t="s">
        <v>608</v>
      </c>
      <c r="H159" s="140"/>
      <c r="I159" s="211" t="s">
        <v>1324</v>
      </c>
      <c r="J159" s="140"/>
      <c r="K159" s="211" t="s">
        <v>1324</v>
      </c>
      <c r="L159" s="212"/>
      <c r="M159" s="212" t="s">
        <v>176</v>
      </c>
      <c r="N159" s="212" t="s">
        <v>1417</v>
      </c>
    </row>
    <row r="160" spans="1:14" s="155" customFormat="1">
      <c r="A160" s="208" t="s">
        <v>1236</v>
      </c>
      <c r="B160" s="209" t="s">
        <v>1030</v>
      </c>
      <c r="C160" s="210" t="str">
        <f>IF(AND('Client PICS'!I$236,'Client PICS'!I$246="Yes"),"Yes","No")</f>
        <v>No</v>
      </c>
      <c r="D160" s="140" t="s">
        <v>71</v>
      </c>
      <c r="E160" s="211" t="s">
        <v>441</v>
      </c>
      <c r="F160" s="140" t="s">
        <v>1124</v>
      </c>
      <c r="G160" s="211" t="s">
        <v>607</v>
      </c>
      <c r="H160" s="140"/>
      <c r="I160" s="211" t="s">
        <v>1324</v>
      </c>
      <c r="J160" s="140"/>
      <c r="K160" s="211" t="s">
        <v>1324</v>
      </c>
      <c r="L160" s="212"/>
      <c r="M160" s="212" t="s">
        <v>176</v>
      </c>
      <c r="N160" s="212" t="s">
        <v>1417</v>
      </c>
    </row>
    <row r="161" spans="1:14" s="155" customFormat="1">
      <c r="A161" s="208" t="s">
        <v>1237</v>
      </c>
      <c r="B161" s="209" t="s">
        <v>1030</v>
      </c>
      <c r="C161" s="210" t="str">
        <f>IF(AND('Client PICS'!I$236,'Client PICS'!I$252="Yes"),"Yes","No")</f>
        <v>No</v>
      </c>
      <c r="D161" s="140" t="s">
        <v>71</v>
      </c>
      <c r="E161" s="211" t="s">
        <v>441</v>
      </c>
      <c r="F161" s="140" t="s">
        <v>1124</v>
      </c>
      <c r="G161" s="211" t="s">
        <v>612</v>
      </c>
      <c r="H161" s="140"/>
      <c r="I161" s="211" t="s">
        <v>1324</v>
      </c>
      <c r="J161" s="140"/>
      <c r="K161" s="211" t="s">
        <v>1324</v>
      </c>
      <c r="L161" s="212"/>
      <c r="M161" s="212" t="s">
        <v>176</v>
      </c>
      <c r="N161" s="212" t="s">
        <v>1417</v>
      </c>
    </row>
    <row r="162" spans="1:14" s="155" customFormat="1">
      <c r="A162" s="208" t="s">
        <v>1238</v>
      </c>
      <c r="B162" s="209" t="s">
        <v>1030</v>
      </c>
      <c r="C162" s="210" t="str">
        <f>IF(AND('Client PICS'!I$236,'Client PICS'!I$246="Yes"),"Yes","No")</f>
        <v>No</v>
      </c>
      <c r="D162" s="140" t="s">
        <v>71</v>
      </c>
      <c r="E162" s="211" t="s">
        <v>441</v>
      </c>
      <c r="F162" s="140" t="s">
        <v>1124</v>
      </c>
      <c r="G162" s="211" t="s">
        <v>607</v>
      </c>
      <c r="H162" s="140"/>
      <c r="I162" s="211" t="s">
        <v>1324</v>
      </c>
      <c r="J162" s="140"/>
      <c r="K162" s="211" t="s">
        <v>1324</v>
      </c>
      <c r="L162" s="212"/>
      <c r="M162" s="212" t="s">
        <v>176</v>
      </c>
      <c r="N162" s="212" t="s">
        <v>1417</v>
      </c>
    </row>
    <row r="163" spans="1:14" s="155" customFormat="1">
      <c r="A163" s="208" t="s">
        <v>1239</v>
      </c>
      <c r="B163" s="209" t="s">
        <v>1030</v>
      </c>
      <c r="C163" s="210" t="str">
        <f>IF(AND('Client PICS'!I$236,'Client PICS'!I$252="Yes"),"Yes","No")</f>
        <v>No</v>
      </c>
      <c r="D163" s="140" t="s">
        <v>71</v>
      </c>
      <c r="E163" s="211" t="s">
        <v>441</v>
      </c>
      <c r="F163" s="140" t="s">
        <v>1124</v>
      </c>
      <c r="G163" s="211" t="s">
        <v>612</v>
      </c>
      <c r="H163" s="140"/>
      <c r="I163" s="211" t="s">
        <v>1324</v>
      </c>
      <c r="J163" s="140"/>
      <c r="K163" s="211" t="s">
        <v>1324</v>
      </c>
      <c r="L163" s="212"/>
      <c r="M163" s="212" t="s">
        <v>176</v>
      </c>
      <c r="N163" s="212" t="s">
        <v>1417</v>
      </c>
    </row>
    <row r="164" spans="1:14" s="155" customFormat="1">
      <c r="A164" s="208" t="s">
        <v>1240</v>
      </c>
      <c r="B164" s="209" t="s">
        <v>1030</v>
      </c>
      <c r="C164" s="210" t="str">
        <f>IF(AND('Client PICS'!I$236,'Client PICS'!I$246="Yes"),"Yes","No")</f>
        <v>No</v>
      </c>
      <c r="D164" s="140" t="s">
        <v>71</v>
      </c>
      <c r="E164" s="211" t="s">
        <v>441</v>
      </c>
      <c r="F164" s="140" t="s">
        <v>1124</v>
      </c>
      <c r="G164" s="211" t="s">
        <v>607</v>
      </c>
      <c r="H164" s="140"/>
      <c r="I164" s="211" t="s">
        <v>1324</v>
      </c>
      <c r="J164" s="140"/>
      <c r="K164" s="211" t="s">
        <v>1324</v>
      </c>
      <c r="L164" s="212"/>
      <c r="M164" s="212" t="s">
        <v>176</v>
      </c>
      <c r="N164" s="212" t="s">
        <v>1417</v>
      </c>
    </row>
    <row r="165" spans="1:14" s="155" customFormat="1">
      <c r="A165" s="208" t="s">
        <v>1241</v>
      </c>
      <c r="B165" s="209" t="s">
        <v>1030</v>
      </c>
      <c r="C165" s="210" t="str">
        <f>IF(AND('Client PICS'!I$236,'Client PICS'!I$249="Yes"),"Yes","No")</f>
        <v>No</v>
      </c>
      <c r="D165" s="140" t="s">
        <v>71</v>
      </c>
      <c r="E165" s="211" t="s">
        <v>441</v>
      </c>
      <c r="F165" s="140" t="s">
        <v>1124</v>
      </c>
      <c r="G165" s="211" t="s">
        <v>610</v>
      </c>
      <c r="H165" s="140"/>
      <c r="I165" s="211" t="s">
        <v>1324</v>
      </c>
      <c r="J165" s="140"/>
      <c r="K165" s="211" t="s">
        <v>1324</v>
      </c>
      <c r="L165" s="212"/>
      <c r="M165" s="212" t="s">
        <v>176</v>
      </c>
      <c r="N165" s="212" t="s">
        <v>1417</v>
      </c>
    </row>
    <row r="166" spans="1:14" s="155" customFormat="1">
      <c r="A166" s="208" t="s">
        <v>1242</v>
      </c>
      <c r="B166" s="209" t="s">
        <v>1030</v>
      </c>
      <c r="C166" s="210" t="str">
        <f>IF(AND('Client PICS'!I$236,'Client PICS'!I$246="Yes"),"Yes","No")</f>
        <v>No</v>
      </c>
      <c r="D166" s="140" t="s">
        <v>71</v>
      </c>
      <c r="E166" s="211" t="s">
        <v>441</v>
      </c>
      <c r="F166" s="140" t="s">
        <v>1124</v>
      </c>
      <c r="G166" s="211" t="s">
        <v>607</v>
      </c>
      <c r="H166" s="140"/>
      <c r="I166" s="211" t="s">
        <v>1324</v>
      </c>
      <c r="J166" s="140"/>
      <c r="K166" s="211" t="s">
        <v>1324</v>
      </c>
      <c r="L166" s="212"/>
      <c r="M166" s="212" t="s">
        <v>176</v>
      </c>
      <c r="N166" s="212" t="s">
        <v>1417</v>
      </c>
    </row>
    <row r="167" spans="1:14" s="155" customFormat="1">
      <c r="A167" s="208" t="s">
        <v>1243</v>
      </c>
      <c r="B167" s="209" t="s">
        <v>1748</v>
      </c>
      <c r="C167" s="210" t="str">
        <f>IF(AND('Client PICS'!I$206="Yes",'Client PICS'!I$219="Yes"),"Yes","No")</f>
        <v>No</v>
      </c>
      <c r="D167" s="140" t="s">
        <v>71</v>
      </c>
      <c r="E167" s="211" t="s">
        <v>432</v>
      </c>
      <c r="F167" s="140" t="s">
        <v>1124</v>
      </c>
      <c r="G167" s="211" t="s">
        <v>597</v>
      </c>
      <c r="H167" s="140"/>
      <c r="I167" s="211" t="s">
        <v>1324</v>
      </c>
      <c r="J167" s="140"/>
      <c r="K167" s="211" t="s">
        <v>1324</v>
      </c>
      <c r="L167" s="212"/>
      <c r="M167" s="212" t="s">
        <v>176</v>
      </c>
      <c r="N167" s="212" t="s">
        <v>1418</v>
      </c>
    </row>
    <row r="168" spans="1:14" s="155" customFormat="1">
      <c r="A168" s="208" t="s">
        <v>1244</v>
      </c>
      <c r="B168" s="209" t="s">
        <v>1030</v>
      </c>
      <c r="C168" s="210" t="str">
        <f>IF(AND('Client PICS'!I$206="Yes",'Client PICS'!I$219="Yes",'Client PICS'!I$217="Yes"),"Yes","No")</f>
        <v>No</v>
      </c>
      <c r="D168" s="140" t="s">
        <v>71</v>
      </c>
      <c r="E168" s="211" t="s">
        <v>432</v>
      </c>
      <c r="F168" s="140" t="s">
        <v>1124</v>
      </c>
      <c r="G168" s="211" t="s">
        <v>597</v>
      </c>
      <c r="H168" s="140" t="s">
        <v>1124</v>
      </c>
      <c r="I168" s="211" t="s">
        <v>595</v>
      </c>
      <c r="J168" s="140"/>
      <c r="K168" s="211" t="s">
        <v>1324</v>
      </c>
      <c r="L168" s="212"/>
      <c r="M168" s="212" t="s">
        <v>176</v>
      </c>
      <c r="N168" s="212" t="s">
        <v>1418</v>
      </c>
    </row>
    <row r="169" spans="1:14" s="155" customFormat="1">
      <c r="A169" s="208" t="s">
        <v>1245</v>
      </c>
      <c r="B169" s="209" t="s">
        <v>1030</v>
      </c>
      <c r="C169" s="210" t="str">
        <f>IF(AND('Client PICS'!I$206="Yes",'Client PICS'!I$219="Yes"),"Yes","No")</f>
        <v>No</v>
      </c>
      <c r="D169" s="140" t="s">
        <v>71</v>
      </c>
      <c r="E169" s="211" t="s">
        <v>432</v>
      </c>
      <c r="F169" s="140" t="s">
        <v>1124</v>
      </c>
      <c r="G169" s="211" t="s">
        <v>597</v>
      </c>
      <c r="H169" s="140"/>
      <c r="I169" s="211" t="s">
        <v>1324</v>
      </c>
      <c r="J169" s="140"/>
      <c r="K169" s="211" t="s">
        <v>1324</v>
      </c>
      <c r="L169" s="212"/>
      <c r="M169" s="212" t="s">
        <v>176</v>
      </c>
      <c r="N169" s="212" t="s">
        <v>1418</v>
      </c>
    </row>
    <row r="170" spans="1:14" s="155" customFormat="1">
      <c r="A170" s="208" t="s">
        <v>1246</v>
      </c>
      <c r="B170" s="209" t="s">
        <v>1030</v>
      </c>
      <c r="C170" s="210" t="str">
        <f>IF(AND('Client PICS'!I$206="Yes",'Client PICS'!I$218="Yes",'Client PICS'!I$217="Yes"),"Yes","No")</f>
        <v>No</v>
      </c>
      <c r="D170" s="140" t="s">
        <v>71</v>
      </c>
      <c r="E170" s="211" t="s">
        <v>432</v>
      </c>
      <c r="F170" s="140" t="s">
        <v>1124</v>
      </c>
      <c r="G170" s="211" t="s">
        <v>596</v>
      </c>
      <c r="H170" s="140" t="s">
        <v>1124</v>
      </c>
      <c r="I170" s="211" t="s">
        <v>595</v>
      </c>
      <c r="J170" s="140"/>
      <c r="K170" s="211" t="s">
        <v>1324</v>
      </c>
      <c r="L170" s="212"/>
      <c r="M170" s="212" t="s">
        <v>176</v>
      </c>
      <c r="N170" s="212" t="s">
        <v>1418</v>
      </c>
    </row>
    <row r="171" spans="1:14" s="155" customFormat="1">
      <c r="A171" s="208" t="s">
        <v>1247</v>
      </c>
      <c r="B171" s="209" t="s">
        <v>1030</v>
      </c>
      <c r="C171" s="210" t="str">
        <f>IF(AND('Client PICS'!I$206="Yes",'Client PICS'!I$222="Yes",'Client PICS'!I$221="Yes"),"Yes","No")</f>
        <v>No</v>
      </c>
      <c r="D171" s="140" t="s">
        <v>71</v>
      </c>
      <c r="E171" s="211" t="s">
        <v>432</v>
      </c>
      <c r="F171" s="140" t="s">
        <v>1124</v>
      </c>
      <c r="G171" s="211" t="s">
        <v>600</v>
      </c>
      <c r="H171" s="140" t="s">
        <v>1124</v>
      </c>
      <c r="I171" s="211" t="s">
        <v>599</v>
      </c>
      <c r="J171" s="140"/>
      <c r="K171" s="211" t="s">
        <v>1324</v>
      </c>
      <c r="L171" s="212"/>
      <c r="M171" s="212" t="s">
        <v>176</v>
      </c>
      <c r="N171" s="212" t="s">
        <v>1418</v>
      </c>
    </row>
    <row r="172" spans="1:14" s="155" customFormat="1">
      <c r="A172" s="208" t="s">
        <v>1453</v>
      </c>
      <c r="B172" s="209" t="s">
        <v>1030</v>
      </c>
      <c r="C172" s="210" t="str">
        <f>IF(AND('Client PICS'!I$206="Yes",'Client PICS'!I$216="Yes"),"Yes","No")</f>
        <v>No</v>
      </c>
      <c r="D172" s="140" t="s">
        <v>71</v>
      </c>
      <c r="E172" s="211" t="s">
        <v>432</v>
      </c>
      <c r="F172" s="140" t="s">
        <v>1124</v>
      </c>
      <c r="G172" s="211" t="s">
        <v>594</v>
      </c>
      <c r="H172" s="140"/>
      <c r="I172" s="211" t="s">
        <v>1324</v>
      </c>
      <c r="J172" s="140"/>
      <c r="K172" s="211" t="s">
        <v>1324</v>
      </c>
      <c r="L172" s="212"/>
      <c r="M172" s="212" t="s">
        <v>176</v>
      </c>
      <c r="N172" s="212" t="s">
        <v>1418</v>
      </c>
    </row>
    <row r="173" spans="1:14" s="155" customFormat="1">
      <c r="A173" s="208" t="s">
        <v>1248</v>
      </c>
      <c r="B173" s="209" t="s">
        <v>1030</v>
      </c>
      <c r="C173" s="210" t="str">
        <f>IF(AND('Client PICS'!I$206="Yes",'Client PICS'!I$219="Yes",'Client PICS'!I$220="Yes"),"Yes","No")</f>
        <v>No</v>
      </c>
      <c r="D173" s="140" t="s">
        <v>71</v>
      </c>
      <c r="E173" s="211" t="s">
        <v>432</v>
      </c>
      <c r="F173" s="140" t="s">
        <v>1124</v>
      </c>
      <c r="G173" s="211" t="s">
        <v>597</v>
      </c>
      <c r="H173" s="140" t="s">
        <v>1124</v>
      </c>
      <c r="I173" s="211" t="s">
        <v>598</v>
      </c>
      <c r="J173" s="140"/>
      <c r="K173" s="211" t="s">
        <v>1324</v>
      </c>
      <c r="L173" s="212"/>
      <c r="M173" s="212" t="s">
        <v>176</v>
      </c>
      <c r="N173" s="212" t="s">
        <v>1418</v>
      </c>
    </row>
    <row r="174" spans="1:14" s="155" customFormat="1">
      <c r="A174" s="208" t="s">
        <v>1249</v>
      </c>
      <c r="B174" s="209" t="s">
        <v>1030</v>
      </c>
      <c r="C174" s="210" t="str">
        <f>IF(AND('Client PICS'!I$206="Yes",'Client PICS'!I$217="Yes"),"Yes","No")</f>
        <v>No</v>
      </c>
      <c r="D174" s="140" t="s">
        <v>71</v>
      </c>
      <c r="E174" s="211" t="s">
        <v>432</v>
      </c>
      <c r="F174" s="140" t="s">
        <v>1124</v>
      </c>
      <c r="G174" s="211" t="s">
        <v>595</v>
      </c>
      <c r="H174" s="140"/>
      <c r="I174" s="211" t="s">
        <v>1324</v>
      </c>
      <c r="J174" s="140"/>
      <c r="K174" s="211" t="s">
        <v>1324</v>
      </c>
      <c r="L174" s="212"/>
      <c r="M174" s="212" t="s">
        <v>176</v>
      </c>
      <c r="N174" s="212" t="s">
        <v>1418</v>
      </c>
    </row>
    <row r="175" spans="1:14" s="155" customFormat="1">
      <c r="A175" s="208" t="s">
        <v>1250</v>
      </c>
      <c r="B175" s="209" t="s">
        <v>1030</v>
      </c>
      <c r="C175" s="210" t="str">
        <f>IF(AND('Client PICS'!I$206="Yes",'Client PICS'!I$216="Yes"),"Yes","No")</f>
        <v>No</v>
      </c>
      <c r="D175" s="140" t="s">
        <v>71</v>
      </c>
      <c r="E175" s="211" t="s">
        <v>432</v>
      </c>
      <c r="F175" s="140" t="s">
        <v>1124</v>
      </c>
      <c r="G175" s="211" t="s">
        <v>594</v>
      </c>
      <c r="H175" s="140"/>
      <c r="I175" s="211" t="s">
        <v>1324</v>
      </c>
      <c r="J175" s="140"/>
      <c r="K175" s="211" t="s">
        <v>1324</v>
      </c>
      <c r="L175" s="212"/>
      <c r="M175" s="212" t="s">
        <v>176</v>
      </c>
      <c r="N175" s="212" t="s">
        <v>1418</v>
      </c>
    </row>
    <row r="176" spans="1:14" s="155" customFormat="1">
      <c r="A176" s="208" t="s">
        <v>1251</v>
      </c>
      <c r="B176" s="209" t="s">
        <v>1030</v>
      </c>
      <c r="C176" s="210" t="str">
        <f>IF(AND('Client PICS'!I$206="Yes",'Client PICS'!I$219="Yes"),"Yes","No")</f>
        <v>No</v>
      </c>
      <c r="D176" s="140" t="s">
        <v>71</v>
      </c>
      <c r="E176" s="211" t="s">
        <v>432</v>
      </c>
      <c r="F176" s="140" t="s">
        <v>1124</v>
      </c>
      <c r="G176" s="211" t="s">
        <v>597</v>
      </c>
      <c r="H176" s="140"/>
      <c r="I176" s="211" t="s">
        <v>1324</v>
      </c>
      <c r="J176" s="140"/>
      <c r="K176" s="211" t="s">
        <v>1324</v>
      </c>
      <c r="L176" s="212"/>
      <c r="M176" s="212" t="s">
        <v>176</v>
      </c>
      <c r="N176" s="212" t="s">
        <v>1418</v>
      </c>
    </row>
    <row r="177" spans="1:14" s="155" customFormat="1">
      <c r="A177" s="208" t="s">
        <v>1252</v>
      </c>
      <c r="B177" s="209" t="s">
        <v>1030</v>
      </c>
      <c r="C177" s="210" t="str">
        <f>IF(AND('Client PICS'!I$206="Yes",'Client PICS'!I$220="Yes"),"Yes","No")</f>
        <v>No</v>
      </c>
      <c r="D177" s="140" t="s">
        <v>71</v>
      </c>
      <c r="E177" s="211" t="s">
        <v>432</v>
      </c>
      <c r="F177" s="140" t="s">
        <v>1124</v>
      </c>
      <c r="G177" s="211" t="s">
        <v>598</v>
      </c>
      <c r="H177" s="140"/>
      <c r="I177" s="211" t="s">
        <v>1324</v>
      </c>
      <c r="J177" s="140"/>
      <c r="K177" s="211" t="s">
        <v>1324</v>
      </c>
      <c r="L177" s="212"/>
      <c r="M177" s="212" t="s">
        <v>176</v>
      </c>
      <c r="N177" s="212" t="s">
        <v>1418</v>
      </c>
    </row>
    <row r="178" spans="1:14" s="155" customFormat="1">
      <c r="A178" s="208" t="s">
        <v>1253</v>
      </c>
      <c r="B178" s="209" t="s">
        <v>1049</v>
      </c>
      <c r="C178" s="210" t="str">
        <f>IF(AND('Client PICS'!I$236="Yes",'Client PICS'!I$246="Yes",'Client PICS'!I$258="Yes"),"Yes","No")</f>
        <v>No</v>
      </c>
      <c r="D178" s="140" t="s">
        <v>71</v>
      </c>
      <c r="E178" s="211" t="s">
        <v>441</v>
      </c>
      <c r="F178" s="140" t="s">
        <v>1124</v>
      </c>
      <c r="G178" s="211" t="s">
        <v>607</v>
      </c>
      <c r="H178" s="140" t="s">
        <v>1124</v>
      </c>
      <c r="I178" s="211" t="s">
        <v>618</v>
      </c>
      <c r="J178" s="140"/>
      <c r="K178" s="211" t="s">
        <v>1324</v>
      </c>
      <c r="L178" s="212"/>
      <c r="M178" s="212" t="s">
        <v>1400</v>
      </c>
      <c r="N178" s="212" t="s">
        <v>1417</v>
      </c>
    </row>
    <row r="179" spans="1:14" s="155" customFormat="1">
      <c r="A179" s="208" t="s">
        <v>1254</v>
      </c>
      <c r="B179" s="209" t="s">
        <v>1049</v>
      </c>
      <c r="C179" s="210" t="str">
        <f>IF(AND('Client PICS'!I$236="Yes",'Client PICS'!I$246="Yes",'Client PICS'!I$258="Yes"),"Yes","No")</f>
        <v>No</v>
      </c>
      <c r="D179" s="140" t="s">
        <v>71</v>
      </c>
      <c r="E179" s="211" t="s">
        <v>441</v>
      </c>
      <c r="F179" s="140" t="s">
        <v>1124</v>
      </c>
      <c r="G179" s="211" t="s">
        <v>607</v>
      </c>
      <c r="H179" s="140" t="s">
        <v>1124</v>
      </c>
      <c r="I179" s="211" t="s">
        <v>618</v>
      </c>
      <c r="J179" s="140"/>
      <c r="K179" s="211" t="s">
        <v>1324</v>
      </c>
      <c r="L179" s="212"/>
      <c r="M179" s="212" t="s">
        <v>1400</v>
      </c>
      <c r="N179" s="212" t="s">
        <v>1417</v>
      </c>
    </row>
    <row r="180" spans="1:14" s="155" customFormat="1">
      <c r="A180" s="208" t="s">
        <v>1255</v>
      </c>
      <c r="B180" s="209" t="s">
        <v>1749</v>
      </c>
      <c r="C180" s="210" t="str">
        <f>IF(AND('Client PICS'!I$236="Yes",'Client PICS'!I$246="Yes",'Client PICS'!I$258="Yes"),"Yes","No")</f>
        <v>No</v>
      </c>
      <c r="D180" s="140" t="s">
        <v>71</v>
      </c>
      <c r="E180" s="211" t="s">
        <v>441</v>
      </c>
      <c r="F180" s="140" t="s">
        <v>1124</v>
      </c>
      <c r="G180" s="211" t="s">
        <v>607</v>
      </c>
      <c r="H180" s="140" t="s">
        <v>1124</v>
      </c>
      <c r="I180" s="211" t="s">
        <v>618</v>
      </c>
      <c r="J180" s="140"/>
      <c r="K180" s="211" t="s">
        <v>1324</v>
      </c>
      <c r="L180" s="212"/>
      <c r="M180" s="212" t="s">
        <v>1400</v>
      </c>
      <c r="N180" s="212" t="s">
        <v>1417</v>
      </c>
    </row>
    <row r="181" spans="1:14" s="155" customFormat="1">
      <c r="A181" s="208" t="s">
        <v>1256</v>
      </c>
      <c r="B181" s="209" t="s">
        <v>1749</v>
      </c>
      <c r="C181" s="210" t="str">
        <f>IF(AND('Client PICS'!I$236="Yes",'Client PICS'!I$246="Yes",'Client PICS'!I$258="Yes"),"Yes","No")</f>
        <v>No</v>
      </c>
      <c r="D181" s="140" t="s">
        <v>71</v>
      </c>
      <c r="E181" s="211" t="s">
        <v>441</v>
      </c>
      <c r="F181" s="140" t="s">
        <v>1124</v>
      </c>
      <c r="G181" s="211" t="s">
        <v>607</v>
      </c>
      <c r="H181" s="140" t="s">
        <v>1124</v>
      </c>
      <c r="I181" s="211" t="s">
        <v>618</v>
      </c>
      <c r="J181" s="140"/>
      <c r="K181" s="211" t="s">
        <v>1324</v>
      </c>
      <c r="L181" s="212"/>
      <c r="M181" s="212" t="s">
        <v>1400</v>
      </c>
      <c r="N181" s="212" t="s">
        <v>1417</v>
      </c>
    </row>
    <row r="182" spans="1:14" s="155" customFormat="1">
      <c r="A182" s="208" t="s">
        <v>1257</v>
      </c>
      <c r="B182" s="209" t="s">
        <v>1049</v>
      </c>
      <c r="C182" s="210" t="str">
        <f>IF(AND('Client PICS'!I$236="Yes",'Client PICS'!I$246="Yes",'Client PICS'!I$258="Yes"),"Yes","No")</f>
        <v>No</v>
      </c>
      <c r="D182" s="140" t="s">
        <v>71</v>
      </c>
      <c r="E182" s="211" t="s">
        <v>441</v>
      </c>
      <c r="F182" s="140" t="s">
        <v>1124</v>
      </c>
      <c r="G182" s="211" t="s">
        <v>607</v>
      </c>
      <c r="H182" s="140" t="s">
        <v>1124</v>
      </c>
      <c r="I182" s="211" t="s">
        <v>618</v>
      </c>
      <c r="J182" s="140"/>
      <c r="K182" s="211" t="s">
        <v>1324</v>
      </c>
      <c r="L182" s="212"/>
      <c r="M182" s="212" t="s">
        <v>1400</v>
      </c>
      <c r="N182" s="212" t="s">
        <v>1417</v>
      </c>
    </row>
    <row r="183" spans="1:14" s="155" customFormat="1">
      <c r="A183" s="208" t="s">
        <v>1258</v>
      </c>
      <c r="B183" s="209" t="s">
        <v>1049</v>
      </c>
      <c r="C183" s="210" t="str">
        <f>IF(AND('Client PICS'!I$206="Yes",'Client PICS'!I$216="Yes",'Client PICS'!I$227="Yes"),"Yes","No")</f>
        <v>No</v>
      </c>
      <c r="D183" s="140" t="s">
        <v>71</v>
      </c>
      <c r="E183" s="211" t="s">
        <v>432</v>
      </c>
      <c r="F183" s="140" t="s">
        <v>1124</v>
      </c>
      <c r="G183" s="211" t="s">
        <v>594</v>
      </c>
      <c r="H183" s="140" t="s">
        <v>1124</v>
      </c>
      <c r="I183" s="211" t="s">
        <v>605</v>
      </c>
      <c r="J183" s="140"/>
      <c r="K183" s="211" t="s">
        <v>1324</v>
      </c>
      <c r="L183" s="212"/>
      <c r="M183" s="212" t="s">
        <v>1400</v>
      </c>
      <c r="N183" s="212" t="s">
        <v>1418</v>
      </c>
    </row>
    <row r="184" spans="1:14" s="155" customFormat="1">
      <c r="A184" s="208" t="s">
        <v>1259</v>
      </c>
      <c r="B184" s="209" t="s">
        <v>1049</v>
      </c>
      <c r="C184" s="210" t="str">
        <f>IF(AND('Client PICS'!I$206="Yes",'Client PICS'!I$216="Yes",'Client PICS'!I$227="Yes"),"Yes","No")</f>
        <v>No</v>
      </c>
      <c r="D184" s="140" t="s">
        <v>71</v>
      </c>
      <c r="E184" s="211" t="s">
        <v>432</v>
      </c>
      <c r="F184" s="140" t="s">
        <v>1124</v>
      </c>
      <c r="G184" s="211" t="s">
        <v>594</v>
      </c>
      <c r="H184" s="140" t="s">
        <v>1124</v>
      </c>
      <c r="I184" s="211" t="s">
        <v>605</v>
      </c>
      <c r="J184" s="140"/>
      <c r="K184" s="211" t="s">
        <v>1324</v>
      </c>
      <c r="L184" s="212"/>
      <c r="M184" s="212" t="s">
        <v>1400</v>
      </c>
      <c r="N184" s="212" t="s">
        <v>1418</v>
      </c>
    </row>
    <row r="185" spans="1:14" s="155" customFormat="1">
      <c r="A185" s="208" t="s">
        <v>1260</v>
      </c>
      <c r="B185" s="209" t="s">
        <v>1749</v>
      </c>
      <c r="C185" s="210" t="str">
        <f>IF(AND('Client PICS'!I$206="Yes",'Client PICS'!I$216="Yes",'Client PICS'!I$227="Yes"),"Yes","No")</f>
        <v>No</v>
      </c>
      <c r="D185" s="140" t="s">
        <v>71</v>
      </c>
      <c r="E185" s="211" t="s">
        <v>432</v>
      </c>
      <c r="F185" s="140" t="s">
        <v>1124</v>
      </c>
      <c r="G185" s="211" t="s">
        <v>594</v>
      </c>
      <c r="H185" s="140" t="s">
        <v>1124</v>
      </c>
      <c r="I185" s="211" t="s">
        <v>605</v>
      </c>
      <c r="J185" s="140"/>
      <c r="K185" s="211" t="s">
        <v>1324</v>
      </c>
      <c r="L185" s="212"/>
      <c r="M185" s="212" t="s">
        <v>1400</v>
      </c>
      <c r="N185" s="212" t="s">
        <v>1418</v>
      </c>
    </row>
    <row r="186" spans="1:14" s="155" customFormat="1">
      <c r="A186" s="208" t="s">
        <v>1261</v>
      </c>
      <c r="B186" s="209" t="s">
        <v>1749</v>
      </c>
      <c r="C186" s="210" t="str">
        <f>IF(AND('Client PICS'!I$206="Yes",'Client PICS'!I$216="Yes",'Client PICS'!I$227="Yes"),"Yes","No")</f>
        <v>No</v>
      </c>
      <c r="D186" s="140" t="s">
        <v>71</v>
      </c>
      <c r="E186" s="211" t="s">
        <v>432</v>
      </c>
      <c r="F186" s="140" t="s">
        <v>1124</v>
      </c>
      <c r="G186" s="211" t="s">
        <v>594</v>
      </c>
      <c r="H186" s="140" t="s">
        <v>1124</v>
      </c>
      <c r="I186" s="211" t="s">
        <v>605</v>
      </c>
      <c r="J186" s="140"/>
      <c r="K186" s="211" t="s">
        <v>1324</v>
      </c>
      <c r="L186" s="212"/>
      <c r="M186" s="212" t="s">
        <v>1400</v>
      </c>
      <c r="N186" s="212" t="s">
        <v>1418</v>
      </c>
    </row>
    <row r="187" spans="1:14" s="155" customFormat="1">
      <c r="A187" s="208" t="s">
        <v>1262</v>
      </c>
      <c r="B187" s="209" t="s">
        <v>1049</v>
      </c>
      <c r="C187" s="210" t="str">
        <f>IF(AND('Client PICS'!I$206="Yes",'Client PICS'!I$216="Yes",'Client PICS'!I$227="Yes"),"Yes","No")</f>
        <v>No</v>
      </c>
      <c r="D187" s="140" t="s">
        <v>71</v>
      </c>
      <c r="E187" s="211" t="s">
        <v>432</v>
      </c>
      <c r="F187" s="140" t="s">
        <v>1124</v>
      </c>
      <c r="G187" s="211" t="s">
        <v>594</v>
      </c>
      <c r="H187" s="140" t="s">
        <v>1124</v>
      </c>
      <c r="I187" s="211" t="s">
        <v>605</v>
      </c>
      <c r="J187" s="140"/>
      <c r="K187" s="211" t="s">
        <v>1324</v>
      </c>
      <c r="L187" s="212"/>
      <c r="M187" s="212" t="s">
        <v>1400</v>
      </c>
      <c r="N187" s="212" t="s">
        <v>1418</v>
      </c>
    </row>
    <row r="188" spans="1:14" s="155" customFormat="1">
      <c r="A188" s="208" t="s">
        <v>1263</v>
      </c>
      <c r="B188" s="209" t="s">
        <v>1060</v>
      </c>
      <c r="C188" s="210" t="str">
        <f>IF(AND('Client PICS'!I$236="Yes",'Client PICS'!I$246="Yes",'Client PICS'!I$262="Yes"),"Yes","No")</f>
        <v>No</v>
      </c>
      <c r="D188" s="140" t="s">
        <v>71</v>
      </c>
      <c r="E188" s="211" t="s">
        <v>441</v>
      </c>
      <c r="F188" s="140" t="s">
        <v>1124</v>
      </c>
      <c r="G188" s="211" t="s">
        <v>607</v>
      </c>
      <c r="H188" s="140" t="s">
        <v>1124</v>
      </c>
      <c r="I188" s="211" t="s">
        <v>619</v>
      </c>
      <c r="J188" s="140"/>
      <c r="K188" s="211" t="s">
        <v>1324</v>
      </c>
      <c r="L188" s="212"/>
      <c r="M188" s="212" t="s">
        <v>1401</v>
      </c>
      <c r="N188" s="212" t="s">
        <v>1417</v>
      </c>
    </row>
    <row r="189" spans="1:14" s="155" customFormat="1">
      <c r="A189" s="208" t="s">
        <v>1264</v>
      </c>
      <c r="B189" s="209" t="s">
        <v>1060</v>
      </c>
      <c r="C189" s="210" t="str">
        <f>IF(AND('Client PICS'!I$236="Yes",'Client PICS'!I$246="Yes",'Client PICS'!I$262="Yes"),"Yes","No")</f>
        <v>No</v>
      </c>
      <c r="D189" s="140" t="s">
        <v>71</v>
      </c>
      <c r="E189" s="211" t="s">
        <v>441</v>
      </c>
      <c r="F189" s="140" t="s">
        <v>1124</v>
      </c>
      <c r="G189" s="211" t="s">
        <v>607</v>
      </c>
      <c r="H189" s="140" t="s">
        <v>1124</v>
      </c>
      <c r="I189" s="211" t="s">
        <v>619</v>
      </c>
      <c r="J189" s="140"/>
      <c r="K189" s="211" t="s">
        <v>1324</v>
      </c>
      <c r="L189" s="212"/>
      <c r="M189" s="212" t="s">
        <v>1401</v>
      </c>
      <c r="N189" s="212" t="s">
        <v>1417</v>
      </c>
    </row>
    <row r="190" spans="1:14" s="155" customFormat="1">
      <c r="A190" s="208" t="s">
        <v>1265</v>
      </c>
      <c r="B190" s="209" t="s">
        <v>1751</v>
      </c>
      <c r="C190" s="210" t="str">
        <f>IF(AND('Client PICS'!I$236="Yes",'Client PICS'!I$246="Yes",'Client PICS'!I$262="Yes"),"Yes","No")</f>
        <v>No</v>
      </c>
      <c r="D190" s="140" t="s">
        <v>71</v>
      </c>
      <c r="E190" s="211" t="s">
        <v>441</v>
      </c>
      <c r="F190" s="140" t="s">
        <v>1124</v>
      </c>
      <c r="G190" s="211" t="s">
        <v>607</v>
      </c>
      <c r="H190" s="140" t="s">
        <v>1124</v>
      </c>
      <c r="I190" s="211" t="s">
        <v>619</v>
      </c>
      <c r="J190" s="140"/>
      <c r="K190" s="211" t="s">
        <v>1324</v>
      </c>
      <c r="L190" s="212"/>
      <c r="M190" s="212" t="s">
        <v>1401</v>
      </c>
      <c r="N190" s="212" t="s">
        <v>1417</v>
      </c>
    </row>
    <row r="191" spans="1:14" s="155" customFormat="1">
      <c r="A191" s="208" t="s">
        <v>1266</v>
      </c>
      <c r="B191" s="209" t="s">
        <v>1060</v>
      </c>
      <c r="C191" s="210" t="str">
        <f>IF(AND('Client PICS'!I$236="Yes",'Client PICS'!I$246="Yes",'Client PICS'!I$262="Yes",'Client PICS'!I$265="Yes"),"Yes","No")</f>
        <v>No</v>
      </c>
      <c r="D191" s="140" t="s">
        <v>71</v>
      </c>
      <c r="E191" s="211" t="s">
        <v>441</v>
      </c>
      <c r="F191" s="140" t="s">
        <v>1124</v>
      </c>
      <c r="G191" s="211" t="s">
        <v>607</v>
      </c>
      <c r="H191" s="140" t="s">
        <v>1124</v>
      </c>
      <c r="I191" s="211" t="s">
        <v>619</v>
      </c>
      <c r="J191" s="140" t="s">
        <v>1124</v>
      </c>
      <c r="K191" s="211" t="s">
        <v>1368</v>
      </c>
      <c r="L191" s="212"/>
      <c r="M191" s="212" t="s">
        <v>1401</v>
      </c>
      <c r="N191" s="212" t="s">
        <v>1417</v>
      </c>
    </row>
    <row r="192" spans="1:14" s="155" customFormat="1">
      <c r="A192" s="208" t="s">
        <v>1267</v>
      </c>
      <c r="B192" s="214" t="s">
        <v>2146</v>
      </c>
      <c r="C192" s="245" t="str">
        <f>IF(AND('Client PICS'!I$236="Yes",'Client PICS'!I$246="Yes",'Client PICS'!I$262="Yes",'Client PICS'!I$250="Yes"),"Yes","No")</f>
        <v>No</v>
      </c>
      <c r="D192" s="140" t="s">
        <v>71</v>
      </c>
      <c r="E192" s="211" t="s">
        <v>441</v>
      </c>
      <c r="F192" s="140" t="s">
        <v>1124</v>
      </c>
      <c r="G192" s="211" t="s">
        <v>607</v>
      </c>
      <c r="H192" s="140" t="s">
        <v>1124</v>
      </c>
      <c r="I192" s="211" t="s">
        <v>619</v>
      </c>
      <c r="J192" s="215" t="s">
        <v>1124</v>
      </c>
      <c r="K192" s="246" t="s">
        <v>2147</v>
      </c>
      <c r="L192" s="212"/>
      <c r="M192" s="212" t="s">
        <v>1401</v>
      </c>
      <c r="N192" s="212" t="s">
        <v>1417</v>
      </c>
    </row>
    <row r="193" spans="1:14" s="155" customFormat="1">
      <c r="A193" s="208" t="s">
        <v>1352</v>
      </c>
      <c r="B193" s="209" t="s">
        <v>1060</v>
      </c>
      <c r="C193" s="210" t="str">
        <f>IF(AND('Client PICS'!I$236="Yes",'Client PICS'!I$246="Yes",'Client PICS'!I$262="Yes"),"Yes","No")</f>
        <v>No</v>
      </c>
      <c r="D193" s="140" t="s">
        <v>71</v>
      </c>
      <c r="E193" s="211" t="s">
        <v>441</v>
      </c>
      <c r="F193" s="140" t="s">
        <v>1124</v>
      </c>
      <c r="G193" s="211" t="s">
        <v>607</v>
      </c>
      <c r="H193" s="140" t="s">
        <v>1124</v>
      </c>
      <c r="I193" s="211" t="s">
        <v>619</v>
      </c>
      <c r="J193" s="140"/>
      <c r="K193" s="211"/>
      <c r="L193" s="212"/>
      <c r="M193" s="212" t="s">
        <v>1401</v>
      </c>
      <c r="N193" s="212" t="s">
        <v>1417</v>
      </c>
    </row>
    <row r="194" spans="1:14" s="155" customFormat="1">
      <c r="A194" s="208" t="s">
        <v>1268</v>
      </c>
      <c r="B194" s="209" t="s">
        <v>1060</v>
      </c>
      <c r="C194" s="210" t="str">
        <f>IF(AND('Client PICS'!I$206="Yes",'Client PICS'!I$216="Yes",'Client PICS'!I$231="Yes"),"Yes","No")</f>
        <v>No</v>
      </c>
      <c r="D194" s="140" t="s">
        <v>71</v>
      </c>
      <c r="E194" s="211" t="s">
        <v>432</v>
      </c>
      <c r="F194" s="140" t="s">
        <v>1124</v>
      </c>
      <c r="G194" s="211" t="s">
        <v>594</v>
      </c>
      <c r="H194" s="140" t="s">
        <v>1124</v>
      </c>
      <c r="I194" s="211" t="s">
        <v>606</v>
      </c>
      <c r="J194" s="140"/>
      <c r="K194" s="211" t="s">
        <v>1324</v>
      </c>
      <c r="L194" s="212"/>
      <c r="M194" s="212" t="s">
        <v>1401</v>
      </c>
      <c r="N194" s="212" t="s">
        <v>1418</v>
      </c>
    </row>
    <row r="195" spans="1:14" s="155" customFormat="1">
      <c r="A195" s="208" t="s">
        <v>1269</v>
      </c>
      <c r="B195" s="209" t="s">
        <v>1060</v>
      </c>
      <c r="C195" s="210" t="str">
        <f>IF(AND('Client PICS'!I$206="Yes",'Client PICS'!I$216="Yes",'Client PICS'!I$231="Yes"),"Yes","No")</f>
        <v>No</v>
      </c>
      <c r="D195" s="140" t="s">
        <v>71</v>
      </c>
      <c r="E195" s="211" t="s">
        <v>432</v>
      </c>
      <c r="F195" s="140" t="s">
        <v>1124</v>
      </c>
      <c r="G195" s="211" t="s">
        <v>594</v>
      </c>
      <c r="H195" s="140" t="s">
        <v>1124</v>
      </c>
      <c r="I195" s="211" t="s">
        <v>606</v>
      </c>
      <c r="J195" s="140"/>
      <c r="K195" s="211" t="s">
        <v>1324</v>
      </c>
      <c r="L195" s="212"/>
      <c r="M195" s="212" t="s">
        <v>1401</v>
      </c>
      <c r="N195" s="212" t="s">
        <v>1418</v>
      </c>
    </row>
    <row r="196" spans="1:14" s="155" customFormat="1">
      <c r="A196" s="208" t="s">
        <v>1270</v>
      </c>
      <c r="B196" s="209" t="s">
        <v>1060</v>
      </c>
      <c r="C196" s="210" t="str">
        <f>IF(AND('Client PICS'!I$206="Yes",'Client PICS'!I$216="Yes",'Client PICS'!I$231="Yes"),"Yes","No")</f>
        <v>No</v>
      </c>
      <c r="D196" s="140" t="s">
        <v>71</v>
      </c>
      <c r="E196" s="211" t="s">
        <v>432</v>
      </c>
      <c r="F196" s="140" t="s">
        <v>1124</v>
      </c>
      <c r="G196" s="211" t="s">
        <v>594</v>
      </c>
      <c r="H196" s="140" t="s">
        <v>1124</v>
      </c>
      <c r="I196" s="211" t="s">
        <v>606</v>
      </c>
      <c r="J196" s="140"/>
      <c r="K196" s="211" t="s">
        <v>1324</v>
      </c>
      <c r="L196" s="212"/>
      <c r="M196" s="212" t="s">
        <v>1401</v>
      </c>
      <c r="N196" s="212" t="s">
        <v>1418</v>
      </c>
    </row>
    <row r="197" spans="1:14" s="155" customFormat="1">
      <c r="A197" s="208" t="s">
        <v>1271</v>
      </c>
      <c r="B197" s="209" t="s">
        <v>1060</v>
      </c>
      <c r="C197" s="210" t="str">
        <f>IF(AND('Client PICS'!I$206="Yes",'Client PICS'!I$216="Yes",'Client PICS'!I$231="Yes"),"Yes","No")</f>
        <v>No</v>
      </c>
      <c r="D197" s="140" t="s">
        <v>71</v>
      </c>
      <c r="E197" s="211" t="s">
        <v>432</v>
      </c>
      <c r="F197" s="140" t="s">
        <v>1124</v>
      </c>
      <c r="G197" s="211" t="s">
        <v>594</v>
      </c>
      <c r="H197" s="140" t="s">
        <v>1124</v>
      </c>
      <c r="I197" s="211" t="s">
        <v>606</v>
      </c>
      <c r="J197" s="140"/>
      <c r="K197" s="211" t="s">
        <v>1324</v>
      </c>
      <c r="L197" s="212"/>
      <c r="M197" s="212" t="s">
        <v>1401</v>
      </c>
      <c r="N197" s="212" t="s">
        <v>1418</v>
      </c>
    </row>
    <row r="198" spans="1:14" s="155" customFormat="1">
      <c r="A198" s="208" t="s">
        <v>1350</v>
      </c>
      <c r="B198" s="209" t="s">
        <v>1060</v>
      </c>
      <c r="C198" s="210" t="str">
        <f>IF(AND('Client PICS'!I$206="Yes",'Client PICS'!I$216="Yes",'Client PICS'!I$231="Yes",'Client PICS'!I$235="Yes"),"Yes","No")</f>
        <v>No</v>
      </c>
      <c r="D198" s="140" t="s">
        <v>71</v>
      </c>
      <c r="E198" s="211" t="s">
        <v>432</v>
      </c>
      <c r="F198" s="140" t="s">
        <v>1124</v>
      </c>
      <c r="G198" s="211" t="s">
        <v>594</v>
      </c>
      <c r="H198" s="140" t="s">
        <v>1124</v>
      </c>
      <c r="I198" s="211" t="s">
        <v>606</v>
      </c>
      <c r="J198" s="140" t="s">
        <v>1124</v>
      </c>
      <c r="K198" s="211" t="s">
        <v>1369</v>
      </c>
      <c r="L198" s="212"/>
      <c r="M198" s="212" t="s">
        <v>1401</v>
      </c>
      <c r="N198" s="212" t="s">
        <v>1418</v>
      </c>
    </row>
    <row r="199" spans="1:14" s="155" customFormat="1">
      <c r="A199" s="208" t="s">
        <v>1351</v>
      </c>
      <c r="B199" s="209" t="s">
        <v>1751</v>
      </c>
      <c r="C199" s="210" t="str">
        <f>IF(AND('Client PICS'!I$206="Yes",'Client PICS'!I$216="Yes",'Client PICS'!I$231="Yes",'Client PICS'!I$235="Yes"),"Yes","No")</f>
        <v>No</v>
      </c>
      <c r="D199" s="140" t="s">
        <v>71</v>
      </c>
      <c r="E199" s="211" t="s">
        <v>432</v>
      </c>
      <c r="F199" s="140" t="s">
        <v>1124</v>
      </c>
      <c r="G199" s="211" t="s">
        <v>594</v>
      </c>
      <c r="H199" s="140" t="s">
        <v>1124</v>
      </c>
      <c r="I199" s="211" t="s">
        <v>606</v>
      </c>
      <c r="J199" s="140" t="s">
        <v>1124</v>
      </c>
      <c r="K199" s="211" t="s">
        <v>1369</v>
      </c>
      <c r="L199" s="212"/>
      <c r="M199" s="212" t="s">
        <v>1401</v>
      </c>
      <c r="N199" s="212" t="s">
        <v>1418</v>
      </c>
    </row>
    <row r="200" spans="1:14" s="155" customFormat="1">
      <c r="A200" s="208" t="s">
        <v>1272</v>
      </c>
      <c r="B200" s="209" t="s">
        <v>1673</v>
      </c>
      <c r="C200" s="210" t="s">
        <v>89</v>
      </c>
      <c r="D200" s="140" t="s">
        <v>3</v>
      </c>
      <c r="E200" s="211" t="s">
        <v>592</v>
      </c>
      <c r="F200" s="140"/>
      <c r="G200" s="211" t="s">
        <v>1324</v>
      </c>
      <c r="H200" s="140"/>
      <c r="I200" s="211" t="s">
        <v>1324</v>
      </c>
      <c r="J200" s="140"/>
      <c r="K200" s="211" t="s">
        <v>1324</v>
      </c>
      <c r="L200" s="212"/>
      <c r="M200" s="212" t="s">
        <v>1421</v>
      </c>
      <c r="N200" s="212" t="s">
        <v>1419</v>
      </c>
    </row>
    <row r="201" spans="1:14" s="155" customFormat="1">
      <c r="A201" s="208" t="s">
        <v>1273</v>
      </c>
      <c r="B201" s="209" t="s">
        <v>1673</v>
      </c>
      <c r="C201" s="210" t="s">
        <v>89</v>
      </c>
      <c r="D201" s="140" t="s">
        <v>3</v>
      </c>
      <c r="E201" s="211" t="s">
        <v>593</v>
      </c>
      <c r="F201" s="140"/>
      <c r="G201" s="211" t="s">
        <v>1324</v>
      </c>
      <c r="H201" s="140"/>
      <c r="I201" s="211" t="s">
        <v>1324</v>
      </c>
      <c r="J201" s="140"/>
      <c r="K201" s="211" t="s">
        <v>1324</v>
      </c>
      <c r="L201" s="212"/>
      <c r="M201" s="212" t="s">
        <v>1421</v>
      </c>
      <c r="N201" s="212" t="s">
        <v>1419</v>
      </c>
    </row>
    <row r="202" spans="1:14" s="155" customFormat="1">
      <c r="A202" s="208" t="s">
        <v>1274</v>
      </c>
      <c r="B202" s="209">
        <v>1.1000000000000001</v>
      </c>
      <c r="C202" s="210" t="str">
        <f>IF('Client PICS'!I$168="Yes","Yes","No")</f>
        <v>No</v>
      </c>
      <c r="D202" s="140" t="s">
        <v>71</v>
      </c>
      <c r="E202" s="211" t="s">
        <v>406</v>
      </c>
      <c r="F202" s="140"/>
      <c r="G202" s="211" t="s">
        <v>1324</v>
      </c>
      <c r="H202" s="140"/>
      <c r="I202" s="211" t="s">
        <v>1324</v>
      </c>
      <c r="J202" s="140"/>
      <c r="K202" s="211" t="s">
        <v>1324</v>
      </c>
      <c r="L202" s="212"/>
      <c r="M202" s="212" t="s">
        <v>1421</v>
      </c>
      <c r="N202" s="212" t="s">
        <v>1419</v>
      </c>
    </row>
    <row r="203" spans="1:14" s="155" customFormat="1">
      <c r="A203" s="208" t="s">
        <v>1275</v>
      </c>
      <c r="B203" s="209">
        <v>1.1000000000000001</v>
      </c>
      <c r="C203" s="210" t="str">
        <f>IF('Client PICS'!I$167="Yes","Yes","No")</f>
        <v>No</v>
      </c>
      <c r="D203" s="140" t="s">
        <v>71</v>
      </c>
      <c r="E203" s="211" t="s">
        <v>405</v>
      </c>
      <c r="F203" s="140"/>
      <c r="G203" s="211" t="s">
        <v>1324</v>
      </c>
      <c r="H203" s="140"/>
      <c r="I203" s="211" t="s">
        <v>1324</v>
      </c>
      <c r="J203" s="140"/>
      <c r="K203" s="211" t="s">
        <v>1324</v>
      </c>
      <c r="L203" s="212"/>
      <c r="M203" s="212" t="s">
        <v>1421</v>
      </c>
      <c r="N203" s="212" t="s">
        <v>1419</v>
      </c>
    </row>
    <row r="204" spans="1:14" s="155" customFormat="1">
      <c r="A204" s="208" t="s">
        <v>1769</v>
      </c>
      <c r="B204" s="209" t="s">
        <v>1970</v>
      </c>
      <c r="C204" s="210" t="str">
        <f>IF(AND('Client PICS'!I$164="Yes",'Client PICS'!I$165="Yes"),"Yes","No")</f>
        <v>No</v>
      </c>
      <c r="D204" s="140" t="s">
        <v>71</v>
      </c>
      <c r="E204" s="138" t="s">
        <v>592</v>
      </c>
      <c r="F204" s="140" t="s">
        <v>1124</v>
      </c>
      <c r="G204" s="138" t="s">
        <v>1954</v>
      </c>
      <c r="H204" s="140"/>
      <c r="I204" s="211" t="s">
        <v>1324</v>
      </c>
      <c r="J204" s="140"/>
      <c r="K204" s="211" t="s">
        <v>1324</v>
      </c>
      <c r="L204" s="212"/>
      <c r="M204" s="212" t="s">
        <v>1421</v>
      </c>
      <c r="N204" s="212" t="s">
        <v>1419</v>
      </c>
    </row>
    <row r="205" spans="1:14" s="155" customFormat="1">
      <c r="A205" s="208" t="s">
        <v>1770</v>
      </c>
      <c r="B205" s="209" t="s">
        <v>1970</v>
      </c>
      <c r="C205" s="210" t="str">
        <f>IF(AND('Client PICS'!I$164="Yes",'Client PICS'!I$165="Yes"),"Yes","No")</f>
        <v>No</v>
      </c>
      <c r="D205" s="140" t="s">
        <v>71</v>
      </c>
      <c r="E205" s="138" t="s">
        <v>592</v>
      </c>
      <c r="F205" s="140" t="s">
        <v>1124</v>
      </c>
      <c r="G205" s="138" t="s">
        <v>1954</v>
      </c>
      <c r="H205" s="140"/>
      <c r="I205" s="211" t="s">
        <v>1324</v>
      </c>
      <c r="J205" s="140"/>
      <c r="K205" s="211" t="s">
        <v>1324</v>
      </c>
      <c r="L205" s="212"/>
      <c r="M205" s="212" t="s">
        <v>1421</v>
      </c>
      <c r="N205" s="212" t="s">
        <v>1419</v>
      </c>
    </row>
    <row r="206" spans="1:14" s="155" customFormat="1">
      <c r="A206" s="208" t="s">
        <v>1276</v>
      </c>
      <c r="B206" s="209">
        <v>1.1000000000000001</v>
      </c>
      <c r="C206" s="210" t="str">
        <f>IF('Client PICS'!I$161="Yes","Yes","No")</f>
        <v>No</v>
      </c>
      <c r="D206" s="140" t="s">
        <v>71</v>
      </c>
      <c r="E206" s="211" t="s">
        <v>412</v>
      </c>
      <c r="F206" s="140"/>
      <c r="G206" s="211" t="s">
        <v>1324</v>
      </c>
      <c r="H206" s="140"/>
      <c r="I206" s="211" t="s">
        <v>1324</v>
      </c>
      <c r="J206" s="140"/>
      <c r="K206" s="211" t="s">
        <v>1324</v>
      </c>
      <c r="L206" s="212"/>
      <c r="M206" s="212" t="s">
        <v>1421</v>
      </c>
      <c r="N206" s="212" t="s">
        <v>1419</v>
      </c>
    </row>
    <row r="207" spans="1:14" s="155" customFormat="1">
      <c r="A207" s="208" t="s">
        <v>1277</v>
      </c>
      <c r="B207" s="209" t="s">
        <v>1072</v>
      </c>
      <c r="C207" s="210" t="str">
        <f>IF('Client PICS'!I$161="Yes","Yes","No")</f>
        <v>No</v>
      </c>
      <c r="D207" s="140" t="s">
        <v>71</v>
      </c>
      <c r="E207" s="211" t="s">
        <v>412</v>
      </c>
      <c r="F207" s="140"/>
      <c r="G207" s="211" t="s">
        <v>1324</v>
      </c>
      <c r="H207" s="140"/>
      <c r="I207" s="211" t="s">
        <v>1324</v>
      </c>
      <c r="J207" s="140"/>
      <c r="K207" s="211" t="s">
        <v>1324</v>
      </c>
      <c r="L207" s="212"/>
      <c r="M207" s="212" t="s">
        <v>1421</v>
      </c>
      <c r="N207" s="212" t="s">
        <v>1419</v>
      </c>
    </row>
    <row r="208" spans="1:14" s="155" customFormat="1">
      <c r="A208" s="208" t="s">
        <v>1278</v>
      </c>
      <c r="B208" s="209">
        <v>1.1000000000000001</v>
      </c>
      <c r="C208" s="210" t="str">
        <f>IF('Client PICS'!I$162="Yes","Yes","No")</f>
        <v>No</v>
      </c>
      <c r="D208" s="140" t="s">
        <v>71</v>
      </c>
      <c r="E208" s="211" t="s">
        <v>413</v>
      </c>
      <c r="F208" s="140"/>
      <c r="G208" s="211" t="s">
        <v>1324</v>
      </c>
      <c r="H208" s="140"/>
      <c r="I208" s="211" t="s">
        <v>1324</v>
      </c>
      <c r="J208" s="140"/>
      <c r="K208" s="211" t="s">
        <v>1324</v>
      </c>
      <c r="L208" s="212"/>
      <c r="M208" s="212" t="s">
        <v>1421</v>
      </c>
      <c r="N208" s="212" t="s">
        <v>1419</v>
      </c>
    </row>
    <row r="209" spans="1:14" s="155" customFormat="1">
      <c r="A209" s="208" t="s">
        <v>1279</v>
      </c>
      <c r="B209" s="209" t="s">
        <v>1072</v>
      </c>
      <c r="C209" s="210" t="str">
        <f>IF('Client PICS'!I$162="Yes","Yes","No")</f>
        <v>No</v>
      </c>
      <c r="D209" s="140" t="s">
        <v>71</v>
      </c>
      <c r="E209" s="211" t="s">
        <v>413</v>
      </c>
      <c r="F209" s="140"/>
      <c r="G209" s="211" t="s">
        <v>1324</v>
      </c>
      <c r="H209" s="140"/>
      <c r="I209" s="211" t="s">
        <v>1324</v>
      </c>
      <c r="J209" s="140"/>
      <c r="K209" s="211" t="s">
        <v>1324</v>
      </c>
      <c r="L209" s="212"/>
      <c r="M209" s="212" t="s">
        <v>1421</v>
      </c>
      <c r="N209" s="212" t="s">
        <v>1419</v>
      </c>
    </row>
    <row r="210" spans="1:14" s="155" customFormat="1">
      <c r="A210" s="208" t="s">
        <v>1280</v>
      </c>
      <c r="B210" s="209" t="s">
        <v>1970</v>
      </c>
      <c r="C210" s="210" t="str">
        <f>IF(AND('Client PICS'!I$169="Yes"),"Yes","No")</f>
        <v>No</v>
      </c>
      <c r="D210" s="140" t="s">
        <v>71</v>
      </c>
      <c r="E210" s="211" t="s">
        <v>407</v>
      </c>
      <c r="F210" s="140"/>
      <c r="G210" s="211"/>
      <c r="H210" s="140"/>
      <c r="I210" s="211" t="s">
        <v>1324</v>
      </c>
      <c r="J210" s="140"/>
      <c r="K210" s="211" t="s">
        <v>1324</v>
      </c>
      <c r="L210" s="212"/>
      <c r="M210" s="212" t="s">
        <v>1421</v>
      </c>
      <c r="N210" s="212" t="s">
        <v>1420</v>
      </c>
    </row>
    <row r="211" spans="1:14" s="155" customFormat="1">
      <c r="A211" s="208" t="s">
        <v>1281</v>
      </c>
      <c r="B211" s="209" t="s">
        <v>1970</v>
      </c>
      <c r="C211" s="210" t="str">
        <f>IF(AND('Client PICS'!I$170="Yes"),"Yes","No")</f>
        <v>No</v>
      </c>
      <c r="D211" s="140" t="s">
        <v>71</v>
      </c>
      <c r="E211" s="211" t="s">
        <v>408</v>
      </c>
      <c r="F211" s="140"/>
      <c r="G211" s="211"/>
      <c r="H211" s="140"/>
      <c r="I211" s="211" t="s">
        <v>1324</v>
      </c>
      <c r="J211" s="140"/>
      <c r="K211" s="211" t="s">
        <v>1324</v>
      </c>
      <c r="L211" s="212"/>
      <c r="M211" s="212" t="s">
        <v>1421</v>
      </c>
      <c r="N211" s="212" t="s">
        <v>1420</v>
      </c>
    </row>
    <row r="212" spans="1:14" s="155" customFormat="1">
      <c r="A212" s="208" t="s">
        <v>1282</v>
      </c>
      <c r="B212" s="209" t="s">
        <v>1970</v>
      </c>
      <c r="C212" s="210" t="str">
        <f>IF(AND('Client PICS'!I$171="Yes"),"Yes","No")</f>
        <v>No</v>
      </c>
      <c r="D212" s="140" t="s">
        <v>71</v>
      </c>
      <c r="E212" s="211" t="s">
        <v>409</v>
      </c>
      <c r="F212" s="140"/>
      <c r="G212" s="211"/>
      <c r="H212" s="140"/>
      <c r="I212" s="211" t="s">
        <v>1324</v>
      </c>
      <c r="J212" s="140"/>
      <c r="K212" s="211" t="s">
        <v>1324</v>
      </c>
      <c r="L212" s="212"/>
      <c r="M212" s="212" t="s">
        <v>1421</v>
      </c>
      <c r="N212" s="212" t="s">
        <v>1420</v>
      </c>
    </row>
    <row r="213" spans="1:14" s="155" customFormat="1">
      <c r="A213" s="208" t="s">
        <v>1771</v>
      </c>
      <c r="B213" s="209" t="s">
        <v>1970</v>
      </c>
      <c r="C213" s="210" t="str">
        <f>IF(AND('Client PICS'!I$172="Yes",'Client PICS'!I$171="Yes"),"Yes","No")</f>
        <v>No</v>
      </c>
      <c r="D213" s="140" t="s">
        <v>71</v>
      </c>
      <c r="E213" s="138" t="s">
        <v>1955</v>
      </c>
      <c r="F213" s="140" t="s">
        <v>1124</v>
      </c>
      <c r="G213" s="211" t="s">
        <v>409</v>
      </c>
      <c r="H213" s="140"/>
      <c r="I213" s="211" t="s">
        <v>1324</v>
      </c>
      <c r="J213" s="140"/>
      <c r="K213" s="211" t="s">
        <v>1324</v>
      </c>
      <c r="L213" s="212"/>
      <c r="M213" s="212" t="s">
        <v>1421</v>
      </c>
      <c r="N213" s="212" t="s">
        <v>1419</v>
      </c>
    </row>
    <row r="214" spans="1:14" s="155" customFormat="1">
      <c r="A214" s="208" t="s">
        <v>1772</v>
      </c>
      <c r="B214" s="209" t="s">
        <v>1970</v>
      </c>
      <c r="C214" s="210" t="str">
        <f>IF(AND('Client PICS'!I$172="Yes",'Client PICS'!I$171="Yes"),"Yes","No")</f>
        <v>No</v>
      </c>
      <c r="D214" s="140" t="s">
        <v>71</v>
      </c>
      <c r="E214" s="138" t="s">
        <v>1955</v>
      </c>
      <c r="F214" s="140" t="s">
        <v>1124</v>
      </c>
      <c r="G214" s="211" t="s">
        <v>409</v>
      </c>
      <c r="H214" s="140"/>
      <c r="I214" s="211" t="s">
        <v>1324</v>
      </c>
      <c r="J214" s="140"/>
      <c r="K214" s="211" t="s">
        <v>1324</v>
      </c>
      <c r="L214" s="212"/>
      <c r="M214" s="212" t="s">
        <v>1421</v>
      </c>
      <c r="N214" s="212" t="s">
        <v>1419</v>
      </c>
    </row>
    <row r="215" spans="1:14" s="155" customFormat="1">
      <c r="A215" s="208" t="s">
        <v>1972</v>
      </c>
      <c r="B215" s="209">
        <v>1.1000000000000001</v>
      </c>
      <c r="C215" s="210" t="str">
        <f>IF(AND('Client PICS'!I$177="Yes",'Client PICS'!I$176="Yes"),"Yes","No")</f>
        <v>No</v>
      </c>
      <c r="D215" s="140" t="s">
        <v>71</v>
      </c>
      <c r="E215" s="211" t="s">
        <v>416</v>
      </c>
      <c r="F215" s="140" t="s">
        <v>1124</v>
      </c>
      <c r="G215" s="211" t="s">
        <v>419</v>
      </c>
      <c r="H215" s="140"/>
      <c r="I215" s="211" t="s">
        <v>1324</v>
      </c>
      <c r="J215" s="140"/>
      <c r="K215" s="211" t="s">
        <v>1324</v>
      </c>
      <c r="L215" s="212"/>
      <c r="M215" s="212" t="s">
        <v>1422</v>
      </c>
      <c r="N215" s="212" t="s">
        <v>1423</v>
      </c>
    </row>
    <row r="216" spans="1:14" s="155" customFormat="1">
      <c r="A216" s="208" t="s">
        <v>1973</v>
      </c>
      <c r="B216" s="209">
        <v>1.1000000000000001</v>
      </c>
      <c r="C216" s="210" t="str">
        <f>IF(AND('Client PICS'!I$179="Yes",'Client PICS'!I$176="Yes"),"Yes","No")</f>
        <v>No</v>
      </c>
      <c r="D216" s="140" t="s">
        <v>71</v>
      </c>
      <c r="E216" s="211" t="s">
        <v>418</v>
      </c>
      <c r="F216" s="140" t="s">
        <v>1124</v>
      </c>
      <c r="G216" s="211" t="s">
        <v>419</v>
      </c>
      <c r="H216" s="140"/>
      <c r="I216" s="211" t="s">
        <v>1324</v>
      </c>
      <c r="J216" s="140"/>
      <c r="K216" s="211" t="s">
        <v>1324</v>
      </c>
      <c r="L216" s="212"/>
      <c r="M216" s="212" t="s">
        <v>1422</v>
      </c>
      <c r="N216" s="212" t="s">
        <v>1423</v>
      </c>
    </row>
    <row r="217" spans="1:14" s="155" customFormat="1">
      <c r="A217" s="208" t="s">
        <v>1974</v>
      </c>
      <c r="B217" s="209" t="s">
        <v>1604</v>
      </c>
      <c r="C217" s="210" t="str">
        <f>IF(AND('Client PICS'!I$178="Yes",'Client PICS'!I$176="Yes"),"Yes","No")</f>
        <v>No</v>
      </c>
      <c r="D217" s="140" t="s">
        <v>71</v>
      </c>
      <c r="E217" s="211" t="s">
        <v>417</v>
      </c>
      <c r="F217" s="140" t="s">
        <v>1124</v>
      </c>
      <c r="G217" s="211" t="s">
        <v>419</v>
      </c>
      <c r="H217" s="140"/>
      <c r="I217" s="211" t="s">
        <v>1324</v>
      </c>
      <c r="J217" s="140"/>
      <c r="K217" s="211" t="s">
        <v>1324</v>
      </c>
      <c r="L217" s="212"/>
      <c r="M217" s="212" t="s">
        <v>1422</v>
      </c>
      <c r="N217" s="212" t="s">
        <v>1423</v>
      </c>
    </row>
    <row r="218" spans="1:14" s="155" customFormat="1">
      <c r="A218" s="208" t="s">
        <v>1283</v>
      </c>
      <c r="B218" s="209">
        <v>1.1000000000000001</v>
      </c>
      <c r="C218" s="210" t="str">
        <f>IF(AND('Client PICS'!I$175="Yes",'Client PICS'!I$176="Yes"),"Yes","No")</f>
        <v>No</v>
      </c>
      <c r="D218" s="140" t="s">
        <v>71</v>
      </c>
      <c r="E218" s="211" t="s">
        <v>415</v>
      </c>
      <c r="F218" s="140" t="s">
        <v>1124</v>
      </c>
      <c r="G218" s="211" t="s">
        <v>419</v>
      </c>
      <c r="H218" s="140"/>
      <c r="I218" s="211" t="s">
        <v>1324</v>
      </c>
      <c r="J218" s="140"/>
      <c r="K218" s="211" t="s">
        <v>1324</v>
      </c>
      <c r="L218" s="212"/>
      <c r="M218" s="212" t="s">
        <v>1422</v>
      </c>
      <c r="N218" s="212" t="s">
        <v>1419</v>
      </c>
    </row>
    <row r="219" spans="1:14" s="155" customFormat="1">
      <c r="A219" s="208" t="s">
        <v>1284</v>
      </c>
      <c r="B219" s="209">
        <v>1.1000000000000001</v>
      </c>
      <c r="C219" s="210" t="str">
        <f>IF('Client PICS'!I$188="Yes","Yes","No")</f>
        <v>No</v>
      </c>
      <c r="D219" s="140" t="s">
        <v>71</v>
      </c>
      <c r="E219" s="211" t="s">
        <v>374</v>
      </c>
      <c r="F219" s="140"/>
      <c r="G219" s="211" t="s">
        <v>1324</v>
      </c>
      <c r="H219" s="140"/>
      <c r="I219" s="211" t="s">
        <v>1324</v>
      </c>
      <c r="J219" s="140"/>
      <c r="K219" s="211" t="s">
        <v>1324</v>
      </c>
      <c r="L219" s="212"/>
      <c r="M219" s="212" t="s">
        <v>1424</v>
      </c>
      <c r="N219" s="212" t="s">
        <v>1419</v>
      </c>
    </row>
    <row r="220" spans="1:14" s="155" customFormat="1">
      <c r="A220" s="208" t="s">
        <v>1285</v>
      </c>
      <c r="B220" s="209">
        <v>1.1000000000000001</v>
      </c>
      <c r="C220" s="210" t="str">
        <f>IF('Client PICS'!I$189="Yes","Yes","No")</f>
        <v>No</v>
      </c>
      <c r="D220" s="140" t="s">
        <v>71</v>
      </c>
      <c r="E220" s="211" t="s">
        <v>375</v>
      </c>
      <c r="F220" s="140"/>
      <c r="G220" s="211" t="s">
        <v>1324</v>
      </c>
      <c r="H220" s="140"/>
      <c r="I220" s="211" t="s">
        <v>1324</v>
      </c>
      <c r="J220" s="140"/>
      <c r="K220" s="211" t="s">
        <v>1324</v>
      </c>
      <c r="L220" s="212"/>
      <c r="M220" s="212" t="s">
        <v>1424</v>
      </c>
      <c r="N220" s="212" t="s">
        <v>1419</v>
      </c>
    </row>
    <row r="221" spans="1:14" s="155" customFormat="1">
      <c r="A221" s="208" t="s">
        <v>1286</v>
      </c>
      <c r="B221" s="209" t="s">
        <v>1985</v>
      </c>
      <c r="C221" s="210" t="str">
        <f>IF(AND('Client PICS'!I$183="Yes",'Client PICS'!I$184="Yes"),"Yes","No")</f>
        <v>No</v>
      </c>
      <c r="D221" s="140" t="s">
        <v>71</v>
      </c>
      <c r="E221" s="211" t="s">
        <v>371</v>
      </c>
      <c r="F221" s="140" t="s">
        <v>1124</v>
      </c>
      <c r="G221" s="138" t="s">
        <v>372</v>
      </c>
      <c r="H221" s="140"/>
      <c r="I221" s="211" t="s">
        <v>1324</v>
      </c>
      <c r="J221" s="140"/>
      <c r="K221" s="211" t="s">
        <v>1324</v>
      </c>
      <c r="L221" s="212"/>
      <c r="M221" s="212" t="s">
        <v>1424</v>
      </c>
      <c r="N221" s="212" t="s">
        <v>1419</v>
      </c>
    </row>
    <row r="222" spans="1:14" s="155" customFormat="1">
      <c r="A222" s="208" t="s">
        <v>1287</v>
      </c>
      <c r="B222" s="209" t="s">
        <v>1985</v>
      </c>
      <c r="C222" s="210" t="str">
        <f>IF('Client PICS'!I$185="Yes","Yes","No")</f>
        <v>No</v>
      </c>
      <c r="D222" s="140" t="s">
        <v>71</v>
      </c>
      <c r="E222" s="211" t="s">
        <v>420</v>
      </c>
      <c r="F222" s="140"/>
      <c r="G222" s="211" t="s">
        <v>1324</v>
      </c>
      <c r="H222" s="140"/>
      <c r="I222" s="211" t="s">
        <v>1324</v>
      </c>
      <c r="J222" s="140"/>
      <c r="K222" s="211" t="s">
        <v>1324</v>
      </c>
      <c r="L222" s="212"/>
      <c r="M222" s="212" t="s">
        <v>1424</v>
      </c>
      <c r="N222" s="212" t="s">
        <v>1419</v>
      </c>
    </row>
    <row r="223" spans="1:14" s="155" customFormat="1">
      <c r="A223" s="208" t="s">
        <v>1288</v>
      </c>
      <c r="B223" s="209">
        <v>1.1000000000000001</v>
      </c>
      <c r="C223" s="210" t="str">
        <f>IF('Client PICS'!I$186="Yes","Yes","No")</f>
        <v>No</v>
      </c>
      <c r="D223" s="140" t="s">
        <v>71</v>
      </c>
      <c r="E223" s="211" t="s">
        <v>373</v>
      </c>
      <c r="F223" s="140"/>
      <c r="G223" s="211" t="s">
        <v>1324</v>
      </c>
      <c r="H223" s="140"/>
      <c r="I223" s="211" t="s">
        <v>1324</v>
      </c>
      <c r="J223" s="140"/>
      <c r="K223" s="211" t="s">
        <v>1324</v>
      </c>
      <c r="L223" s="212"/>
      <c r="M223" s="212" t="s">
        <v>1424</v>
      </c>
      <c r="N223" s="212" t="s">
        <v>1419</v>
      </c>
    </row>
    <row r="224" spans="1:14" s="155" customFormat="1">
      <c r="A224" s="208" t="s">
        <v>1776</v>
      </c>
      <c r="B224" s="209" t="s">
        <v>1985</v>
      </c>
      <c r="C224" s="210" t="str">
        <f>IF(AND('Client PICS'!I$184="Yes",'Client PICS'!I$187="Yes",'Client PICS'!I$180="Yes"),"Yes","No")</f>
        <v>No</v>
      </c>
      <c r="D224" s="140" t="s">
        <v>71</v>
      </c>
      <c r="E224" s="138" t="s">
        <v>372</v>
      </c>
      <c r="F224" s="140" t="s">
        <v>1124</v>
      </c>
      <c r="G224" s="138" t="s">
        <v>1957</v>
      </c>
      <c r="H224" s="140" t="s">
        <v>1124</v>
      </c>
      <c r="I224" s="138" t="s">
        <v>368</v>
      </c>
      <c r="J224" s="140"/>
      <c r="K224" s="211" t="s">
        <v>1324</v>
      </c>
      <c r="L224" s="212"/>
      <c r="M224" s="212" t="s">
        <v>1424</v>
      </c>
      <c r="N224" s="212" t="s">
        <v>1419</v>
      </c>
    </row>
    <row r="225" spans="1:14" s="155" customFormat="1">
      <c r="A225" s="208" t="s">
        <v>1777</v>
      </c>
      <c r="B225" s="209" t="s">
        <v>1985</v>
      </c>
      <c r="C225" s="210" t="str">
        <f>IF(AND('Client PICS'!I$184="Yes",'Client PICS'!I$187="Yes",'Client PICS'!I$180="Yes"),"Yes","No")</f>
        <v>No</v>
      </c>
      <c r="D225" s="140" t="s">
        <v>71</v>
      </c>
      <c r="E225" s="138" t="s">
        <v>372</v>
      </c>
      <c r="F225" s="140" t="s">
        <v>1124</v>
      </c>
      <c r="G225" s="138" t="s">
        <v>1957</v>
      </c>
      <c r="H225" s="140" t="s">
        <v>1124</v>
      </c>
      <c r="I225" s="138" t="s">
        <v>368</v>
      </c>
      <c r="J225" s="140"/>
      <c r="K225" s="211" t="s">
        <v>1324</v>
      </c>
      <c r="L225" s="212"/>
      <c r="M225" s="212" t="s">
        <v>1424</v>
      </c>
      <c r="N225" s="212" t="s">
        <v>1419</v>
      </c>
    </row>
    <row r="226" spans="1:14" s="155" customFormat="1">
      <c r="A226" s="208" t="s">
        <v>1289</v>
      </c>
      <c r="B226" s="209" t="s">
        <v>1290</v>
      </c>
      <c r="C226" s="210" t="str">
        <f>IF('Client PICS'!I$183="Yes","Yes","No")</f>
        <v>No</v>
      </c>
      <c r="D226" s="140" t="s">
        <v>71</v>
      </c>
      <c r="E226" s="211" t="s">
        <v>371</v>
      </c>
      <c r="F226" s="140"/>
      <c r="G226" s="211" t="s">
        <v>1324</v>
      </c>
      <c r="H226" s="140"/>
      <c r="I226" s="211" t="s">
        <v>1324</v>
      </c>
      <c r="J226" s="140"/>
      <c r="K226" s="211" t="s">
        <v>1324</v>
      </c>
      <c r="L226" s="212"/>
      <c r="M226" s="212" t="s">
        <v>1424</v>
      </c>
      <c r="N226" s="212" t="s">
        <v>1419</v>
      </c>
    </row>
    <row r="227" spans="1:14" s="155" customFormat="1">
      <c r="A227" s="208" t="s">
        <v>1779</v>
      </c>
      <c r="B227" s="209" t="s">
        <v>1762</v>
      </c>
      <c r="C227" s="210" t="str">
        <f>IF('Client PICS'!I$183="Yes","Yes","No")</f>
        <v>No</v>
      </c>
      <c r="D227" s="140" t="s">
        <v>71</v>
      </c>
      <c r="E227" s="211" t="s">
        <v>371</v>
      </c>
      <c r="F227" s="140"/>
      <c r="G227" s="211" t="s">
        <v>1324</v>
      </c>
      <c r="H227" s="140"/>
      <c r="I227" s="211" t="s">
        <v>1324</v>
      </c>
      <c r="J227" s="140"/>
      <c r="K227" s="211" t="s">
        <v>1324</v>
      </c>
      <c r="L227" s="212"/>
      <c r="M227" s="212" t="s">
        <v>1424</v>
      </c>
      <c r="N227" s="212" t="s">
        <v>1419</v>
      </c>
    </row>
    <row r="228" spans="1:14" s="155" customFormat="1">
      <c r="A228" s="208" t="s">
        <v>1778</v>
      </c>
      <c r="B228" s="214" t="s">
        <v>1985</v>
      </c>
      <c r="C228" s="210" t="str">
        <f>IF(AND('Client PICS'!I$183="Yes",'Client PICS'!I$188="Yes"),"Yes","No")</f>
        <v>No</v>
      </c>
      <c r="D228" s="140" t="s">
        <v>71</v>
      </c>
      <c r="E228" s="211" t="s">
        <v>371</v>
      </c>
      <c r="F228" s="215" t="s">
        <v>1124</v>
      </c>
      <c r="G228" s="171" t="s">
        <v>374</v>
      </c>
      <c r="H228" s="140"/>
      <c r="I228" s="211" t="s">
        <v>1324</v>
      </c>
      <c r="J228" s="140"/>
      <c r="K228" s="211" t="s">
        <v>1324</v>
      </c>
      <c r="L228" s="212"/>
      <c r="M228" s="212" t="s">
        <v>1424</v>
      </c>
      <c r="N228" s="212" t="s">
        <v>1419</v>
      </c>
    </row>
    <row r="229" spans="1:14" s="155" customFormat="1">
      <c r="A229" s="208" t="s">
        <v>1291</v>
      </c>
      <c r="B229" s="209">
        <v>1.1000000000000001</v>
      </c>
      <c r="C229" s="210" t="s">
        <v>89</v>
      </c>
      <c r="D229" s="140" t="s">
        <v>3</v>
      </c>
      <c r="E229" s="211" t="s">
        <v>1988</v>
      </c>
      <c r="F229" s="140"/>
      <c r="G229" s="211" t="s">
        <v>1324</v>
      </c>
      <c r="H229" s="140"/>
      <c r="I229" s="211" t="s">
        <v>1324</v>
      </c>
      <c r="J229" s="140"/>
      <c r="K229" s="211" t="s">
        <v>1324</v>
      </c>
      <c r="L229" s="212"/>
      <c r="M229" s="212" t="s">
        <v>1425</v>
      </c>
      <c r="N229" s="212" t="s">
        <v>203</v>
      </c>
    </row>
    <row r="230" spans="1:14" s="155" customFormat="1">
      <c r="A230" s="208" t="s">
        <v>1292</v>
      </c>
      <c r="B230" s="209" t="s">
        <v>1971</v>
      </c>
      <c r="C230" s="210" t="s">
        <v>89</v>
      </c>
      <c r="D230" s="140" t="s">
        <v>3</v>
      </c>
      <c r="E230" s="211" t="s">
        <v>1988</v>
      </c>
      <c r="F230" s="140"/>
      <c r="G230" s="211" t="s">
        <v>1324</v>
      </c>
      <c r="H230" s="140"/>
      <c r="I230" s="211" t="s">
        <v>1324</v>
      </c>
      <c r="J230" s="140"/>
      <c r="K230" s="211" t="s">
        <v>1324</v>
      </c>
      <c r="L230" s="212"/>
      <c r="M230" s="212" t="s">
        <v>1425</v>
      </c>
      <c r="N230" s="212" t="s">
        <v>203</v>
      </c>
    </row>
    <row r="231" spans="1:14" s="155" customFormat="1">
      <c r="A231" s="208" t="s">
        <v>1293</v>
      </c>
      <c r="B231" s="209">
        <v>1.1000000000000001</v>
      </c>
      <c r="C231" s="210" t="s">
        <v>89</v>
      </c>
      <c r="D231" s="140" t="s">
        <v>3</v>
      </c>
      <c r="E231" s="211" t="s">
        <v>1988</v>
      </c>
      <c r="F231" s="140"/>
      <c r="G231" s="211" t="s">
        <v>1324</v>
      </c>
      <c r="H231" s="140"/>
      <c r="I231" s="211" t="s">
        <v>1324</v>
      </c>
      <c r="J231" s="140"/>
      <c r="K231" s="211" t="s">
        <v>1324</v>
      </c>
      <c r="L231" s="212"/>
      <c r="M231" s="212" t="s">
        <v>1425</v>
      </c>
      <c r="N231" s="212" t="s">
        <v>203</v>
      </c>
    </row>
    <row r="232" spans="1:14" s="155" customFormat="1">
      <c r="A232" s="208" t="s">
        <v>2019</v>
      </c>
      <c r="B232" s="209" t="s">
        <v>2003</v>
      </c>
      <c r="C232" s="210" t="s">
        <v>89</v>
      </c>
      <c r="D232" s="140" t="s">
        <v>3</v>
      </c>
      <c r="E232" s="211" t="s">
        <v>1988</v>
      </c>
      <c r="F232" s="140"/>
      <c r="G232" s="211"/>
      <c r="H232" s="140"/>
      <c r="I232" s="211"/>
      <c r="J232" s="140"/>
      <c r="K232" s="211"/>
      <c r="L232" s="212"/>
      <c r="M232" s="212" t="s">
        <v>1425</v>
      </c>
      <c r="N232" s="212" t="s">
        <v>203</v>
      </c>
    </row>
    <row r="233" spans="1:14" s="155" customFormat="1">
      <c r="A233" s="208" t="s">
        <v>2020</v>
      </c>
      <c r="B233" s="209" t="s">
        <v>2003</v>
      </c>
      <c r="C233" s="210" t="str">
        <f>IF('Client PICS'!I$192="Yes","Yes","No")</f>
        <v>No</v>
      </c>
      <c r="D233" s="140" t="s">
        <v>71</v>
      </c>
      <c r="E233" s="138" t="s">
        <v>1987</v>
      </c>
      <c r="F233" s="140"/>
      <c r="G233" s="211"/>
      <c r="H233" s="140"/>
      <c r="I233" s="211"/>
      <c r="J233" s="140"/>
      <c r="K233" s="211"/>
      <c r="L233" s="212"/>
      <c r="M233" s="212" t="s">
        <v>1425</v>
      </c>
      <c r="N233" s="212" t="s">
        <v>203</v>
      </c>
    </row>
    <row r="234" spans="1:14" s="155" customFormat="1">
      <c r="A234" s="208" t="s">
        <v>2052</v>
      </c>
      <c r="B234" s="209" t="s">
        <v>1971</v>
      </c>
      <c r="C234" s="210" t="str">
        <f>IF('Client PICS'!I$195="Yes","Yes","No")</f>
        <v>No</v>
      </c>
      <c r="D234" s="140" t="s">
        <v>71</v>
      </c>
      <c r="E234" s="138" t="s">
        <v>1956</v>
      </c>
      <c r="F234" s="140"/>
      <c r="G234" s="211"/>
      <c r="H234" s="140"/>
      <c r="I234" s="211"/>
      <c r="J234" s="140"/>
      <c r="K234" s="211"/>
      <c r="L234" s="212"/>
      <c r="M234" s="212" t="s">
        <v>1425</v>
      </c>
      <c r="N234" s="212" t="s">
        <v>2067</v>
      </c>
    </row>
    <row r="235" spans="1:14" s="155" customFormat="1">
      <c r="A235" s="208" t="s">
        <v>2051</v>
      </c>
      <c r="B235" s="209" t="s">
        <v>1971</v>
      </c>
      <c r="C235" s="210" t="str">
        <f>IF('Client PICS'!I$195="Yes","Yes","No")</f>
        <v>No</v>
      </c>
      <c r="D235" s="140" t="s">
        <v>71</v>
      </c>
      <c r="E235" s="138" t="s">
        <v>1956</v>
      </c>
      <c r="F235" s="140"/>
      <c r="G235" s="211"/>
      <c r="H235" s="140"/>
      <c r="I235" s="211"/>
      <c r="J235" s="140"/>
      <c r="K235" s="211"/>
      <c r="L235" s="212"/>
      <c r="M235" s="212" t="s">
        <v>1425</v>
      </c>
      <c r="N235" s="212" t="s">
        <v>2067</v>
      </c>
    </row>
    <row r="236" spans="1:14" s="155" customFormat="1">
      <c r="A236" s="208" t="s">
        <v>2053</v>
      </c>
      <c r="B236" s="209" t="s">
        <v>1971</v>
      </c>
      <c r="C236" s="210" t="str">
        <f>IF('Client PICS'!I$195="Yes","Yes","No")</f>
        <v>No</v>
      </c>
      <c r="D236" s="140" t="s">
        <v>71</v>
      </c>
      <c r="E236" s="138" t="s">
        <v>1956</v>
      </c>
      <c r="F236" s="140"/>
      <c r="G236" s="211"/>
      <c r="H236" s="140"/>
      <c r="I236" s="211"/>
      <c r="J236" s="140"/>
      <c r="K236" s="211"/>
      <c r="L236" s="212"/>
      <c r="M236" s="212" t="s">
        <v>1425</v>
      </c>
      <c r="N236" s="212" t="s">
        <v>2067</v>
      </c>
    </row>
    <row r="237" spans="1:14" s="155" customFormat="1">
      <c r="A237" s="208" t="s">
        <v>2054</v>
      </c>
      <c r="B237" s="209" t="s">
        <v>1971</v>
      </c>
      <c r="C237" s="210" t="str">
        <f>IF('Client PICS'!I$195="Yes","Yes","No")</f>
        <v>No</v>
      </c>
      <c r="D237" s="140" t="s">
        <v>71</v>
      </c>
      <c r="E237" s="138" t="s">
        <v>1956</v>
      </c>
      <c r="F237" s="140"/>
      <c r="G237" s="211"/>
      <c r="H237" s="140"/>
      <c r="I237" s="211"/>
      <c r="J237" s="140"/>
      <c r="K237" s="211"/>
      <c r="L237" s="212"/>
      <c r="M237" s="212" t="s">
        <v>1425</v>
      </c>
      <c r="N237" s="212" t="s">
        <v>2067</v>
      </c>
    </row>
    <row r="238" spans="1:14" s="155" customFormat="1">
      <c r="A238" s="208" t="s">
        <v>2055</v>
      </c>
      <c r="B238" s="209" t="s">
        <v>1971</v>
      </c>
      <c r="C238" s="210" t="str">
        <f>IF('Client PICS'!I$195="Yes","Yes","No")</f>
        <v>No</v>
      </c>
      <c r="D238" s="140" t="s">
        <v>71</v>
      </c>
      <c r="E238" s="138" t="s">
        <v>1956</v>
      </c>
      <c r="F238" s="140"/>
      <c r="G238" s="211"/>
      <c r="H238" s="140"/>
      <c r="I238" s="211"/>
      <c r="J238" s="140"/>
      <c r="K238" s="211"/>
      <c r="L238" s="212"/>
      <c r="M238" s="212" t="s">
        <v>1425</v>
      </c>
      <c r="N238" s="212" t="s">
        <v>2067</v>
      </c>
    </row>
    <row r="239" spans="1:14" s="155" customFormat="1">
      <c r="A239" s="208" t="s">
        <v>2056</v>
      </c>
      <c r="B239" s="209" t="s">
        <v>1971</v>
      </c>
      <c r="C239" s="210" t="str">
        <f>IF('Client PICS'!I$195="Yes","Yes","No")</f>
        <v>No</v>
      </c>
      <c r="D239" s="140" t="s">
        <v>71</v>
      </c>
      <c r="E239" s="138" t="s">
        <v>1956</v>
      </c>
      <c r="F239" s="140"/>
      <c r="G239" s="211"/>
      <c r="H239" s="140"/>
      <c r="I239" s="211"/>
      <c r="J239" s="140"/>
      <c r="K239" s="211"/>
      <c r="L239" s="212"/>
      <c r="M239" s="212" t="s">
        <v>1425</v>
      </c>
      <c r="N239" s="212" t="s">
        <v>2067</v>
      </c>
    </row>
    <row r="240" spans="1:14" s="155" customFormat="1">
      <c r="A240" s="208" t="s">
        <v>2057</v>
      </c>
      <c r="B240" s="209" t="s">
        <v>1971</v>
      </c>
      <c r="C240" s="210" t="str">
        <f>IF('Client PICS'!I$195="Yes","Yes","No")</f>
        <v>No</v>
      </c>
      <c r="D240" s="140" t="s">
        <v>71</v>
      </c>
      <c r="E240" s="138" t="s">
        <v>1956</v>
      </c>
      <c r="F240" s="140"/>
      <c r="G240" s="211"/>
      <c r="H240" s="140"/>
      <c r="I240" s="211"/>
      <c r="J240" s="140"/>
      <c r="K240" s="211"/>
      <c r="L240" s="212"/>
      <c r="M240" s="212" t="s">
        <v>1425</v>
      </c>
      <c r="N240" s="212" t="s">
        <v>2067</v>
      </c>
    </row>
    <row r="241" spans="1:14" s="155" customFormat="1">
      <c r="A241" s="208" t="s">
        <v>2004</v>
      </c>
      <c r="B241" s="209" t="s">
        <v>2003</v>
      </c>
      <c r="C241" s="210" t="s">
        <v>89</v>
      </c>
      <c r="D241" s="140" t="s">
        <v>3</v>
      </c>
      <c r="E241" s="211" t="s">
        <v>1988</v>
      </c>
      <c r="F241" s="140"/>
      <c r="G241" s="211"/>
      <c r="H241" s="140"/>
      <c r="I241" s="211"/>
      <c r="J241" s="140"/>
      <c r="K241" s="211"/>
      <c r="L241" s="212"/>
      <c r="M241" s="212" t="s">
        <v>1425</v>
      </c>
      <c r="N241" s="212" t="s">
        <v>2068</v>
      </c>
    </row>
    <row r="242" spans="1:14" s="155" customFormat="1">
      <c r="A242" s="208" t="s">
        <v>1294</v>
      </c>
      <c r="B242" s="209" t="s">
        <v>1597</v>
      </c>
      <c r="C242" s="210" t="str">
        <f>IF(AND('Client PICS'!I$207="Yes",'Client PICS'!I$208="Yes"),"Yes","No")</f>
        <v>No</v>
      </c>
      <c r="D242" s="140" t="s">
        <v>71</v>
      </c>
      <c r="E242" s="211" t="s">
        <v>433</v>
      </c>
      <c r="F242" s="140" t="s">
        <v>1124</v>
      </c>
      <c r="G242" s="211" t="s">
        <v>434</v>
      </c>
      <c r="H242" s="140"/>
      <c r="I242" s="211" t="s">
        <v>1324</v>
      </c>
      <c r="J242" s="140"/>
      <c r="K242" s="211" t="s">
        <v>1324</v>
      </c>
      <c r="L242" s="212"/>
      <c r="M242" s="212" t="s">
        <v>1426</v>
      </c>
      <c r="N242" s="212" t="s">
        <v>1430</v>
      </c>
    </row>
    <row r="243" spans="1:14" s="155" customFormat="1">
      <c r="A243" s="208" t="s">
        <v>1295</v>
      </c>
      <c r="B243" s="209" t="s">
        <v>1597</v>
      </c>
      <c r="C243" s="210" t="str">
        <f>IF(AND('Client PICS'!I$212="Yes",'Client PICS'!I$207="Yes"),"Yes","No")</f>
        <v>No</v>
      </c>
      <c r="D243" s="140" t="s">
        <v>71</v>
      </c>
      <c r="E243" s="211" t="s">
        <v>438</v>
      </c>
      <c r="F243" s="140" t="s">
        <v>1124</v>
      </c>
      <c r="G243" s="211" t="s">
        <v>433</v>
      </c>
      <c r="H243" s="140"/>
      <c r="I243" s="211" t="s">
        <v>1324</v>
      </c>
      <c r="J243" s="140"/>
      <c r="K243" s="211" t="s">
        <v>1324</v>
      </c>
      <c r="L243" s="212"/>
      <c r="M243" s="212" t="s">
        <v>1426</v>
      </c>
      <c r="N243" s="212" t="s">
        <v>1430</v>
      </c>
    </row>
    <row r="244" spans="1:14" s="155" customFormat="1">
      <c r="A244" s="208" t="s">
        <v>1296</v>
      </c>
      <c r="B244" s="209" t="s">
        <v>1597</v>
      </c>
      <c r="C244" s="210" t="str">
        <f>IF(AND('Client PICS'!I$215="Yes",'Client PICS'!I$214="Yes"),"Yes","No")</f>
        <v>No</v>
      </c>
      <c r="D244" s="140" t="s">
        <v>71</v>
      </c>
      <c r="E244" s="211" t="s">
        <v>431</v>
      </c>
      <c r="F244" s="140" t="s">
        <v>1124</v>
      </c>
      <c r="G244" s="211" t="s">
        <v>440</v>
      </c>
      <c r="H244" s="140"/>
      <c r="I244" s="211" t="s">
        <v>1324</v>
      </c>
      <c r="J244" s="140"/>
      <c r="K244" s="211" t="s">
        <v>1324</v>
      </c>
      <c r="L244" s="212"/>
      <c r="M244" s="212" t="s">
        <v>1426</v>
      </c>
      <c r="N244" s="212" t="s">
        <v>1430</v>
      </c>
    </row>
    <row r="245" spans="1:14" s="155" customFormat="1">
      <c r="A245" s="208" t="s">
        <v>1297</v>
      </c>
      <c r="B245" s="209" t="s">
        <v>1597</v>
      </c>
      <c r="C245" s="210" t="str">
        <f>IF(AND('Client PICS'!I$212="Yes",'Client PICS'!I$209="Yes"),"Yes","No")</f>
        <v>No</v>
      </c>
      <c r="D245" s="140" t="s">
        <v>71</v>
      </c>
      <c r="E245" s="211" t="s">
        <v>438</v>
      </c>
      <c r="F245" s="140" t="s">
        <v>1124</v>
      </c>
      <c r="G245" s="211" t="s">
        <v>435</v>
      </c>
      <c r="H245" s="140"/>
      <c r="I245" s="211" t="s">
        <v>1324</v>
      </c>
      <c r="J245" s="140"/>
      <c r="K245" s="211" t="s">
        <v>1324</v>
      </c>
      <c r="L245" s="212"/>
      <c r="M245" s="212" t="s">
        <v>1426</v>
      </c>
      <c r="N245" s="212" t="s">
        <v>1427</v>
      </c>
    </row>
    <row r="246" spans="1:14" s="155" customFormat="1">
      <c r="A246" s="208" t="s">
        <v>1298</v>
      </c>
      <c r="B246" s="209" t="s">
        <v>1597</v>
      </c>
      <c r="C246" s="210" t="str">
        <f>IF(AND('Client PICS'!I$212="Yes",'Client PICS'!I$209="Yes"),"Yes","No")</f>
        <v>No</v>
      </c>
      <c r="D246" s="140" t="s">
        <v>71</v>
      </c>
      <c r="E246" s="211" t="s">
        <v>438</v>
      </c>
      <c r="F246" s="140" t="s">
        <v>1124</v>
      </c>
      <c r="G246" s="211" t="s">
        <v>435</v>
      </c>
      <c r="H246" s="140"/>
      <c r="I246" s="211" t="s">
        <v>1324</v>
      </c>
      <c r="J246" s="140"/>
      <c r="K246" s="211" t="s">
        <v>1324</v>
      </c>
      <c r="L246" s="212"/>
      <c r="M246" s="212" t="s">
        <v>1426</v>
      </c>
      <c r="N246" s="212" t="s">
        <v>1427</v>
      </c>
    </row>
    <row r="247" spans="1:14" s="155" customFormat="1">
      <c r="A247" s="208" t="s">
        <v>1299</v>
      </c>
      <c r="B247" s="209" t="s">
        <v>1597</v>
      </c>
      <c r="C247" s="210" t="str">
        <f>IF(AND('Client PICS'!I$212="Yes",'Client PICS'!I$209="Yes"),"Yes","No")</f>
        <v>No</v>
      </c>
      <c r="D247" s="140" t="s">
        <v>71</v>
      </c>
      <c r="E247" s="211" t="s">
        <v>438</v>
      </c>
      <c r="F247" s="140" t="s">
        <v>1124</v>
      </c>
      <c r="G247" s="211" t="s">
        <v>435</v>
      </c>
      <c r="H247" s="140"/>
      <c r="I247" s="211" t="s">
        <v>1324</v>
      </c>
      <c r="J247" s="140"/>
      <c r="K247" s="211" t="s">
        <v>1324</v>
      </c>
      <c r="L247" s="212"/>
      <c r="M247" s="212" t="s">
        <v>1426</v>
      </c>
      <c r="N247" s="212" t="s">
        <v>1427</v>
      </c>
    </row>
    <row r="248" spans="1:14" s="155" customFormat="1">
      <c r="A248" s="208" t="s">
        <v>1300</v>
      </c>
      <c r="B248" s="209" t="s">
        <v>1597</v>
      </c>
      <c r="C248" s="210" t="str">
        <f>IF(AND('Client PICS'!I$212="Yes",'Client PICS'!I$210="Yes"),"Yes","No")</f>
        <v>No</v>
      </c>
      <c r="D248" s="140" t="s">
        <v>71</v>
      </c>
      <c r="E248" s="211" t="s">
        <v>438</v>
      </c>
      <c r="F248" s="140" t="s">
        <v>1124</v>
      </c>
      <c r="G248" s="211" t="s">
        <v>436</v>
      </c>
      <c r="H248" s="140"/>
      <c r="I248" s="211" t="s">
        <v>1324</v>
      </c>
      <c r="J248" s="140"/>
      <c r="K248" s="211" t="s">
        <v>1324</v>
      </c>
      <c r="L248" s="212"/>
      <c r="M248" s="212" t="s">
        <v>1426</v>
      </c>
      <c r="N248" s="212" t="s">
        <v>1428</v>
      </c>
    </row>
    <row r="249" spans="1:14" s="155" customFormat="1">
      <c r="A249" s="208" t="s">
        <v>1301</v>
      </c>
      <c r="B249" s="209" t="s">
        <v>1597</v>
      </c>
      <c r="C249" s="210" t="str">
        <f>IF(AND('Client PICS'!I$212="Yes",'Client PICS'!I$210="Yes"),"Yes","No")</f>
        <v>No</v>
      </c>
      <c r="D249" s="140" t="s">
        <v>71</v>
      </c>
      <c r="E249" s="211" t="s">
        <v>438</v>
      </c>
      <c r="F249" s="140" t="s">
        <v>1124</v>
      </c>
      <c r="G249" s="211" t="s">
        <v>436</v>
      </c>
      <c r="H249" s="140"/>
      <c r="I249" s="211" t="s">
        <v>1324</v>
      </c>
      <c r="J249" s="140"/>
      <c r="K249" s="211" t="s">
        <v>1324</v>
      </c>
      <c r="L249" s="212"/>
      <c r="M249" s="212" t="s">
        <v>1426</v>
      </c>
      <c r="N249" s="212" t="s">
        <v>1428</v>
      </c>
    </row>
    <row r="250" spans="1:14" s="155" customFormat="1">
      <c r="A250" s="208" t="s">
        <v>1302</v>
      </c>
      <c r="B250" s="209" t="s">
        <v>1597</v>
      </c>
      <c r="C250" s="210" t="str">
        <f>IF(AND('Client PICS'!I$212="Yes",'Client PICS'!I$210="Yes"),"Yes","No")</f>
        <v>No</v>
      </c>
      <c r="D250" s="140" t="s">
        <v>71</v>
      </c>
      <c r="E250" s="211" t="s">
        <v>438</v>
      </c>
      <c r="F250" s="140" t="s">
        <v>1124</v>
      </c>
      <c r="G250" s="211" t="s">
        <v>436</v>
      </c>
      <c r="H250" s="140"/>
      <c r="I250" s="211" t="s">
        <v>1324</v>
      </c>
      <c r="J250" s="140"/>
      <c r="K250" s="211" t="s">
        <v>1324</v>
      </c>
      <c r="L250" s="212"/>
      <c r="M250" s="212" t="s">
        <v>1426</v>
      </c>
      <c r="N250" s="212" t="s">
        <v>1428</v>
      </c>
    </row>
    <row r="251" spans="1:14" s="155" customFormat="1">
      <c r="A251" s="208" t="s">
        <v>1303</v>
      </c>
      <c r="B251" s="209" t="s">
        <v>1597</v>
      </c>
      <c r="C251" s="210" t="str">
        <f>IF('Client PICS'!I$211="Yes","Yes","No")</f>
        <v>No</v>
      </c>
      <c r="D251" s="140" t="s">
        <v>71</v>
      </c>
      <c r="E251" s="211" t="s">
        <v>437</v>
      </c>
      <c r="F251" s="140"/>
      <c r="G251" s="211" t="s">
        <v>1324</v>
      </c>
      <c r="H251" s="140"/>
      <c r="I251" s="211" t="s">
        <v>1324</v>
      </c>
      <c r="J251" s="140"/>
      <c r="K251" s="211" t="s">
        <v>1324</v>
      </c>
      <c r="L251" s="212"/>
      <c r="M251" s="212" t="s">
        <v>1426</v>
      </c>
      <c r="N251" s="212" t="s">
        <v>1429</v>
      </c>
    </row>
    <row r="252" spans="1:14" s="155" customFormat="1">
      <c r="A252" s="208" t="s">
        <v>1304</v>
      </c>
      <c r="B252" s="209" t="s">
        <v>1597</v>
      </c>
      <c r="C252" s="210" t="str">
        <f>IF(AND('Client PICS'!I$211="Yes",'Client PICS'!I$212="Yes"),"Yes","No")</f>
        <v>No</v>
      </c>
      <c r="D252" s="140" t="s">
        <v>71</v>
      </c>
      <c r="E252" s="211" t="s">
        <v>437</v>
      </c>
      <c r="F252" s="140" t="s">
        <v>1124</v>
      </c>
      <c r="G252" s="211" t="s">
        <v>438</v>
      </c>
      <c r="H252" s="140"/>
      <c r="I252" s="211" t="s">
        <v>1324</v>
      </c>
      <c r="J252" s="140"/>
      <c r="K252" s="211" t="s">
        <v>1324</v>
      </c>
      <c r="L252" s="212"/>
      <c r="M252" s="212" t="s">
        <v>1426</v>
      </c>
      <c r="N252" s="216" t="s">
        <v>1429</v>
      </c>
    </row>
    <row r="253" spans="1:14" s="155" customFormat="1">
      <c r="A253" s="208" t="s">
        <v>1305</v>
      </c>
      <c r="B253" s="209" t="s">
        <v>1597</v>
      </c>
      <c r="C253" s="210" t="str">
        <f>IF(AND('Client PICS'!I$211="Yes",'Client PICS'!I$212="Yes"),"Yes","No")</f>
        <v>No</v>
      </c>
      <c r="D253" s="140" t="s">
        <v>71</v>
      </c>
      <c r="E253" s="211" t="s">
        <v>437</v>
      </c>
      <c r="F253" s="140" t="s">
        <v>1124</v>
      </c>
      <c r="G253" s="211" t="s">
        <v>438</v>
      </c>
      <c r="H253" s="140"/>
      <c r="I253" s="211" t="s">
        <v>1324</v>
      </c>
      <c r="J253" s="140"/>
      <c r="K253" s="211" t="s">
        <v>1324</v>
      </c>
      <c r="L253" s="212"/>
      <c r="M253" s="212" t="s">
        <v>1426</v>
      </c>
      <c r="N253" s="216" t="s">
        <v>1429</v>
      </c>
    </row>
    <row r="254" spans="1:14" s="155" customFormat="1">
      <c r="A254" s="208" t="s">
        <v>1448</v>
      </c>
      <c r="B254" s="209" t="s">
        <v>1597</v>
      </c>
      <c r="C254" s="210" t="str">
        <f>IF(AND('Client PICS'!I$211="Yes",'Client PICS'!I$212="Yes"),"Yes","No")</f>
        <v>No</v>
      </c>
      <c r="D254" s="140" t="s">
        <v>71</v>
      </c>
      <c r="E254" s="211" t="s">
        <v>437</v>
      </c>
      <c r="F254" s="140" t="s">
        <v>1124</v>
      </c>
      <c r="G254" s="211" t="s">
        <v>438</v>
      </c>
      <c r="H254" s="140"/>
      <c r="I254" s="211" t="s">
        <v>1324</v>
      </c>
      <c r="J254" s="140"/>
      <c r="K254" s="211" t="s">
        <v>1324</v>
      </c>
      <c r="L254" s="212"/>
      <c r="M254" s="212" t="s">
        <v>1426</v>
      </c>
      <c r="N254" s="216" t="s">
        <v>1429</v>
      </c>
    </row>
    <row r="255" spans="1:14" s="155" customFormat="1">
      <c r="A255" s="208" t="s">
        <v>1306</v>
      </c>
      <c r="B255" s="209">
        <v>1.1000000000000001</v>
      </c>
      <c r="C255" s="210" t="str">
        <f>IF(AND('Client PICS'!I$238="Yes",'Client PICS'!I$237="Yes"),"Yes","No")</f>
        <v>No</v>
      </c>
      <c r="D255" s="140" t="s">
        <v>71</v>
      </c>
      <c r="E255" s="211" t="s">
        <v>430</v>
      </c>
      <c r="F255" s="140" t="s">
        <v>1124</v>
      </c>
      <c r="G255" s="211" t="s">
        <v>442</v>
      </c>
      <c r="H255" s="140"/>
      <c r="I255" s="211" t="s">
        <v>1324</v>
      </c>
      <c r="J255" s="140"/>
      <c r="K255" s="211" t="s">
        <v>1324</v>
      </c>
      <c r="L255" s="212"/>
      <c r="M255" s="212" t="s">
        <v>1426</v>
      </c>
      <c r="N255" s="212" t="s">
        <v>1431</v>
      </c>
    </row>
    <row r="256" spans="1:14" s="155" customFormat="1">
      <c r="A256" s="208" t="s">
        <v>1307</v>
      </c>
      <c r="B256" s="209" t="s">
        <v>1597</v>
      </c>
      <c r="C256" s="210" t="str">
        <f>IF('Client PICS'!I$242="Yes","Yes","No")</f>
        <v>No</v>
      </c>
      <c r="D256" s="140" t="s">
        <v>71</v>
      </c>
      <c r="E256" s="211" t="s">
        <v>446</v>
      </c>
      <c r="F256" s="140"/>
      <c r="G256" s="211" t="s">
        <v>1324</v>
      </c>
      <c r="H256" s="140"/>
      <c r="I256" s="211" t="s">
        <v>1324</v>
      </c>
      <c r="J256" s="140"/>
      <c r="K256" s="211" t="s">
        <v>1324</v>
      </c>
      <c r="L256" s="212"/>
      <c r="M256" s="212" t="s">
        <v>1426</v>
      </c>
      <c r="N256" s="212" t="s">
        <v>1431</v>
      </c>
    </row>
    <row r="257" spans="1:14" s="155" customFormat="1">
      <c r="A257" s="208" t="s">
        <v>1308</v>
      </c>
      <c r="B257" s="209" t="s">
        <v>1597</v>
      </c>
      <c r="C257" s="210" t="str">
        <f>IF(AND('Client PICS'!I$245="Yes",'Client PICS'!I$244="Yes"),"Yes","No")</f>
        <v>No</v>
      </c>
      <c r="D257" s="140" t="s">
        <v>71</v>
      </c>
      <c r="E257" s="211" t="s">
        <v>449</v>
      </c>
      <c r="F257" s="140" t="s">
        <v>1124</v>
      </c>
      <c r="G257" s="211" t="s">
        <v>448</v>
      </c>
      <c r="H257" s="140"/>
      <c r="I257" s="211" t="s">
        <v>1324</v>
      </c>
      <c r="J257" s="140"/>
      <c r="K257" s="211" t="s">
        <v>1324</v>
      </c>
      <c r="L257" s="212"/>
      <c r="M257" s="212" t="s">
        <v>1426</v>
      </c>
      <c r="N257" s="212" t="s">
        <v>1431</v>
      </c>
    </row>
    <row r="258" spans="1:14" s="155" customFormat="1">
      <c r="A258" s="208" t="s">
        <v>1309</v>
      </c>
      <c r="B258" s="209">
        <v>1.1000000000000001</v>
      </c>
      <c r="C258" s="210" t="str">
        <f>IF('Client PICS'!I$239="Yes","Yes","No")</f>
        <v>No</v>
      </c>
      <c r="D258" s="140" t="s">
        <v>71</v>
      </c>
      <c r="E258" s="211" t="s">
        <v>443</v>
      </c>
      <c r="F258" s="140"/>
      <c r="G258" s="211" t="s">
        <v>1324</v>
      </c>
      <c r="H258" s="140"/>
      <c r="I258" s="211" t="s">
        <v>1324</v>
      </c>
      <c r="J258" s="140"/>
      <c r="K258" s="211" t="s">
        <v>1324</v>
      </c>
      <c r="L258" s="212"/>
      <c r="M258" s="212" t="s">
        <v>1426</v>
      </c>
      <c r="N258" s="212" t="s">
        <v>1432</v>
      </c>
    </row>
    <row r="259" spans="1:14" s="155" customFormat="1">
      <c r="A259" s="208" t="s">
        <v>1598</v>
      </c>
      <c r="B259" s="209" t="s">
        <v>1597</v>
      </c>
      <c r="C259" s="210" t="str">
        <f>IF('Client PICS'!I$239="Yes","Yes","No")</f>
        <v>No</v>
      </c>
      <c r="D259" s="140" t="s">
        <v>71</v>
      </c>
      <c r="E259" s="211" t="s">
        <v>443</v>
      </c>
      <c r="F259" s="140"/>
      <c r="G259" s="211" t="s">
        <v>1324</v>
      </c>
      <c r="H259" s="140"/>
      <c r="I259" s="211" t="s">
        <v>1324</v>
      </c>
      <c r="J259" s="140"/>
      <c r="K259" s="211" t="s">
        <v>1324</v>
      </c>
      <c r="L259" s="212"/>
      <c r="M259" s="212" t="s">
        <v>1426</v>
      </c>
      <c r="N259" s="212" t="s">
        <v>1432</v>
      </c>
    </row>
    <row r="260" spans="1:14" s="155" customFormat="1">
      <c r="A260" s="208" t="s">
        <v>1815</v>
      </c>
      <c r="B260" s="209" t="s">
        <v>1597</v>
      </c>
      <c r="C260" s="210" t="str">
        <f>IF('Client PICS'!I$239="Yes","Yes","No")</f>
        <v>No</v>
      </c>
      <c r="D260" s="140" t="s">
        <v>71</v>
      </c>
      <c r="E260" s="211" t="s">
        <v>443</v>
      </c>
      <c r="F260" s="140"/>
      <c r="G260" s="211" t="s">
        <v>1324</v>
      </c>
      <c r="H260" s="140"/>
      <c r="I260" s="211" t="s">
        <v>1324</v>
      </c>
      <c r="J260" s="140"/>
      <c r="K260" s="211" t="s">
        <v>1324</v>
      </c>
      <c r="L260" s="212"/>
      <c r="M260" s="212" t="s">
        <v>1426</v>
      </c>
      <c r="N260" s="212" t="s">
        <v>1432</v>
      </c>
    </row>
    <row r="261" spans="1:14" s="155" customFormat="1">
      <c r="A261" s="208" t="s">
        <v>1599</v>
      </c>
      <c r="B261" s="209" t="s">
        <v>1597</v>
      </c>
      <c r="C261" s="210" t="str">
        <f>IF('Client PICS'!I$239="Yes","Yes","No")</f>
        <v>No</v>
      </c>
      <c r="D261" s="140" t="s">
        <v>71</v>
      </c>
      <c r="E261" s="211" t="s">
        <v>443</v>
      </c>
      <c r="F261" s="140"/>
      <c r="G261" s="211" t="s">
        <v>1324</v>
      </c>
      <c r="H261" s="140"/>
      <c r="I261" s="211" t="s">
        <v>1324</v>
      </c>
      <c r="J261" s="140"/>
      <c r="K261" s="211" t="s">
        <v>1324</v>
      </c>
      <c r="L261" s="212"/>
      <c r="M261" s="212" t="s">
        <v>1426</v>
      </c>
      <c r="N261" s="212" t="s">
        <v>1432</v>
      </c>
    </row>
    <row r="262" spans="1:14" s="155" customFormat="1">
      <c r="A262" s="208" t="s">
        <v>1310</v>
      </c>
      <c r="B262" s="209" t="s">
        <v>1113</v>
      </c>
      <c r="C262" s="210" t="str">
        <f>IF('Client PICS'!I$241="Yes","Yes","No")</f>
        <v>No</v>
      </c>
      <c r="D262" s="140" t="s">
        <v>71</v>
      </c>
      <c r="E262" s="211" t="s">
        <v>445</v>
      </c>
      <c r="F262" s="140"/>
      <c r="G262" s="211" t="s">
        <v>1324</v>
      </c>
      <c r="H262" s="140"/>
      <c r="I262" s="211" t="s">
        <v>1324</v>
      </c>
      <c r="J262" s="140"/>
      <c r="K262" s="211" t="s">
        <v>1324</v>
      </c>
      <c r="L262" s="212"/>
      <c r="M262" s="212" t="s">
        <v>1426</v>
      </c>
      <c r="N262" s="212" t="s">
        <v>1433</v>
      </c>
    </row>
    <row r="263" spans="1:14" s="155" customFormat="1">
      <c r="A263" s="208" t="s">
        <v>1311</v>
      </c>
      <c r="B263" s="209" t="s">
        <v>1113</v>
      </c>
      <c r="C263" s="210" t="str">
        <f>IF('Client PICS'!I$241="Yes","Yes","No")</f>
        <v>No</v>
      </c>
      <c r="D263" s="140" t="s">
        <v>71</v>
      </c>
      <c r="E263" s="211" t="s">
        <v>445</v>
      </c>
      <c r="F263" s="140"/>
      <c r="G263" s="211" t="s">
        <v>1324</v>
      </c>
      <c r="H263" s="140"/>
      <c r="I263" s="211" t="s">
        <v>1324</v>
      </c>
      <c r="J263" s="140"/>
      <c r="K263" s="211" t="s">
        <v>1324</v>
      </c>
      <c r="L263" s="212"/>
      <c r="M263" s="212" t="s">
        <v>1426</v>
      </c>
      <c r="N263" s="212" t="s">
        <v>1433</v>
      </c>
    </row>
    <row r="264" spans="1:14" s="155" customFormat="1">
      <c r="A264" s="208" t="s">
        <v>1312</v>
      </c>
      <c r="B264" s="209" t="s">
        <v>1113</v>
      </c>
      <c r="C264" s="210" t="str">
        <f>IF('Client PICS'!I$241="Yes","Yes","No")</f>
        <v>No</v>
      </c>
      <c r="D264" s="140" t="s">
        <v>71</v>
      </c>
      <c r="E264" s="211" t="s">
        <v>445</v>
      </c>
      <c r="F264" s="140"/>
      <c r="G264" s="211" t="s">
        <v>1324</v>
      </c>
      <c r="H264" s="140"/>
      <c r="I264" s="211" t="s">
        <v>1324</v>
      </c>
      <c r="J264" s="140"/>
      <c r="K264" s="211" t="s">
        <v>1324</v>
      </c>
      <c r="L264" s="212"/>
      <c r="M264" s="212" t="s">
        <v>1426</v>
      </c>
      <c r="N264" s="216" t="s">
        <v>1433</v>
      </c>
    </row>
    <row r="265" spans="1:14" s="155" customFormat="1">
      <c r="A265" s="208" t="s">
        <v>1449</v>
      </c>
      <c r="B265" s="209" t="s">
        <v>1113</v>
      </c>
      <c r="C265" s="210" t="str">
        <f>IF('Client PICS'!I$241="Yes","Yes","No")</f>
        <v>No</v>
      </c>
      <c r="D265" s="140" t="s">
        <v>71</v>
      </c>
      <c r="E265" s="211" t="s">
        <v>445</v>
      </c>
      <c r="F265" s="140"/>
      <c r="G265" s="211" t="s">
        <v>1324</v>
      </c>
      <c r="H265" s="140"/>
      <c r="I265" s="211" t="s">
        <v>1324</v>
      </c>
      <c r="J265" s="140"/>
      <c r="K265" s="211" t="s">
        <v>1324</v>
      </c>
      <c r="L265" s="212"/>
      <c r="M265" s="212" t="s">
        <v>1426</v>
      </c>
      <c r="N265" s="216" t="s">
        <v>1433</v>
      </c>
    </row>
  </sheetData>
  <sheetProtection sheet="1" objects="1" scenarios="1" sort="0" autoFilter="0"/>
  <autoFilter ref="A1:N265"/>
  <dataValidations disablePrompts="1" count="1">
    <dataValidation type="list" allowBlank="1" showInputMessage="1" showErrorMessage="1" sqref="D78:D90">
      <formula1>"Mandatory,Conditional"</formula1>
    </dataValidation>
  </dataValidations>
  <pageMargins left="0.7" right="0.7" top="0.75" bottom="0.75" header="0.3" footer="0.3"/>
  <pageSetup orientation="portrait"/>
  <headerFooter>
    <oddHeader>&amp;L&amp;"nokia pure text,Bold"&amp;10&amp;K99CC33Company Confidential&amp;C&amp;"arial,Bold"&amp;10&amp;K3E8430Nokia Internal Use Only</oddHeader>
    <oddFooter>&amp;L&amp;"nokia pure text,Bold"&amp;10&amp;K99CC33Company Confidential&amp;C&amp;"arial,Bold"&amp;10&amp;K3E8430Nokia Internal Use Only</oddFooter>
    <evenHeader>&amp;L&amp;"nokia pure text,Bold"&amp;10&amp;K99CC33Company Confidential&amp;C&amp;"arial,Bold"&amp;10&amp;K3E8430Nokia Internal Use Only</evenHeader>
    <evenFooter>&amp;L&amp;"nokia pure text,Bold"&amp;10&amp;K99CC33Company Confidential&amp;C&amp;"arial,Bold"&amp;10&amp;K3E8430Nokia Internal Use Only</evenFooter>
    <firstHeader>&amp;L&amp;"nokia pure text,Bold"&amp;10&amp;K99CC33Company Confidential&amp;C&amp;"arial,Bold"&amp;10&amp;K3E8430Nokia Internal Use Only</firstHeader>
    <firstFooter>&amp;L&amp;"nokia pure text,Bold"&amp;10&amp;K99CC33Company Confidential&amp;C&amp;"arial,Bold"&amp;10&amp;K3E8430Nokia Internal Use Only</first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K80"/>
  <sheetViews>
    <sheetView workbookViewId="0">
      <pane ySplit="1" topLeftCell="A2" activePane="bottomLeft" state="frozenSplit"/>
      <selection activeCell="D142" sqref="D142:G142"/>
      <selection pane="bottomLeft" activeCell="B32" sqref="B32"/>
    </sheetView>
  </sheetViews>
  <sheetFormatPr baseColWidth="10" defaultColWidth="10.83203125" defaultRowHeight="15" x14ac:dyDescent="0"/>
  <cols>
    <col min="1" max="1" width="16" style="21" customWidth="1"/>
    <col min="2" max="2" width="10.1640625" style="84" customWidth="1"/>
    <col min="3" max="3" width="10.83203125" style="19" hidden="1" customWidth="1"/>
    <col min="4" max="4" width="66.83203125" style="20" customWidth="1"/>
    <col min="5" max="5" width="84.33203125" style="170" customWidth="1"/>
    <col min="6" max="16384" width="10.83203125" style="9"/>
  </cols>
  <sheetData>
    <row r="1" spans="1:5" s="8" customFormat="1" ht="16" thickBot="1">
      <c r="A1" s="22" t="s">
        <v>733</v>
      </c>
      <c r="B1" s="22" t="s">
        <v>734</v>
      </c>
      <c r="C1" s="22" t="s">
        <v>735</v>
      </c>
      <c r="D1" s="22" t="s">
        <v>224</v>
      </c>
      <c r="E1" s="22" t="s">
        <v>736</v>
      </c>
    </row>
    <row r="2" spans="1:5" ht="30">
      <c r="A2" s="32" t="s">
        <v>737</v>
      </c>
      <c r="B2" s="78">
        <v>1000</v>
      </c>
      <c r="C2" s="33"/>
      <c r="D2" s="34" t="s">
        <v>738</v>
      </c>
      <c r="E2" s="160"/>
    </row>
    <row r="3" spans="1:5" ht="30">
      <c r="A3" s="35"/>
      <c r="B3" s="79">
        <v>1150</v>
      </c>
      <c r="C3" s="36"/>
      <c r="D3" s="37" t="s">
        <v>790</v>
      </c>
      <c r="E3" s="161"/>
    </row>
    <row r="4" spans="1:5" ht="30">
      <c r="A4" s="35"/>
      <c r="B4" s="79">
        <v>1400</v>
      </c>
      <c r="C4" s="36"/>
      <c r="D4" s="37" t="s">
        <v>757</v>
      </c>
      <c r="E4" s="161"/>
    </row>
    <row r="5" spans="1:5" ht="30">
      <c r="A5" s="35"/>
      <c r="B5" s="79">
        <v>7020</v>
      </c>
      <c r="C5" s="36"/>
      <c r="D5" s="157" t="s">
        <v>761</v>
      </c>
      <c r="E5" s="162"/>
    </row>
    <row r="6" spans="1:5">
      <c r="A6" s="35"/>
      <c r="B6" s="79">
        <v>9500</v>
      </c>
      <c r="C6" s="36"/>
      <c r="D6" s="157" t="s">
        <v>2033</v>
      </c>
      <c r="E6" s="162"/>
    </row>
    <row r="7" spans="1:5">
      <c r="A7" s="35"/>
      <c r="B7" s="79">
        <v>9510</v>
      </c>
      <c r="C7" s="36"/>
      <c r="D7" s="157" t="s">
        <v>2034</v>
      </c>
      <c r="E7" s="162"/>
    </row>
    <row r="8" spans="1:5">
      <c r="A8" s="35"/>
      <c r="B8" s="79">
        <v>9520</v>
      </c>
      <c r="C8" s="36"/>
      <c r="D8" s="157" t="s">
        <v>2035</v>
      </c>
      <c r="E8" s="162"/>
    </row>
    <row r="9" spans="1:5">
      <c r="A9" s="35"/>
      <c r="B9" s="79">
        <v>9530</v>
      </c>
      <c r="C9" s="36"/>
      <c r="D9" s="157" t="s">
        <v>2036</v>
      </c>
      <c r="E9" s="162"/>
    </row>
    <row r="10" spans="1:5">
      <c r="A10" s="35"/>
      <c r="B10" s="79">
        <v>9540</v>
      </c>
      <c r="C10" s="36"/>
      <c r="D10" s="157" t="s">
        <v>2037</v>
      </c>
      <c r="E10" s="162"/>
    </row>
    <row r="11" spans="1:5" ht="31" thickBot="1">
      <c r="A11" s="38"/>
      <c r="B11" s="80">
        <v>7020</v>
      </c>
      <c r="C11" s="39"/>
      <c r="D11" s="40" t="s">
        <v>761</v>
      </c>
      <c r="E11" s="163"/>
    </row>
    <row r="12" spans="1:5">
      <c r="A12" s="41" t="s">
        <v>81</v>
      </c>
      <c r="B12" s="81">
        <v>2000</v>
      </c>
      <c r="C12" s="42"/>
      <c r="D12" s="43" t="s">
        <v>791</v>
      </c>
      <c r="E12" s="164"/>
    </row>
    <row r="13" spans="1:5">
      <c r="A13" s="35"/>
      <c r="B13" s="79">
        <v>2020</v>
      </c>
      <c r="C13" s="36"/>
      <c r="D13" s="37" t="s">
        <v>792</v>
      </c>
      <c r="E13" s="161"/>
    </row>
    <row r="14" spans="1:5">
      <c r="A14" s="35"/>
      <c r="B14" s="79">
        <v>2030</v>
      </c>
      <c r="C14" s="36"/>
      <c r="D14" s="37" t="s">
        <v>793</v>
      </c>
      <c r="E14" s="161"/>
    </row>
    <row r="15" spans="1:5">
      <c r="A15" s="35"/>
      <c r="B15" s="79">
        <v>2040</v>
      </c>
      <c r="C15" s="36"/>
      <c r="D15" s="37" t="s">
        <v>794</v>
      </c>
      <c r="E15" s="161"/>
    </row>
    <row r="16" spans="1:5">
      <c r="A16" s="35"/>
      <c r="B16" s="79">
        <v>2041</v>
      </c>
      <c r="C16" s="36"/>
      <c r="D16" s="37" t="s">
        <v>795</v>
      </c>
      <c r="E16" s="161"/>
    </row>
    <row r="17" spans="1:5">
      <c r="A17" s="35"/>
      <c r="B17" s="79">
        <v>2050</v>
      </c>
      <c r="C17" s="36"/>
      <c r="D17" s="37" t="s">
        <v>796</v>
      </c>
      <c r="E17" s="161"/>
    </row>
    <row r="18" spans="1:5" ht="30">
      <c r="A18" s="35"/>
      <c r="B18" s="79">
        <v>7014</v>
      </c>
      <c r="C18" s="36"/>
      <c r="D18" s="37" t="s">
        <v>797</v>
      </c>
      <c r="E18" s="161"/>
    </row>
    <row r="19" spans="1:5">
      <c r="A19" s="35"/>
      <c r="B19" s="79">
        <v>7019</v>
      </c>
      <c r="C19" s="36"/>
      <c r="D19" s="37" t="s">
        <v>1967</v>
      </c>
      <c r="E19" s="162"/>
    </row>
    <row r="20" spans="1:5" ht="30">
      <c r="A20" s="35"/>
      <c r="B20" s="79">
        <v>2110</v>
      </c>
      <c r="C20" s="36"/>
      <c r="D20" s="37" t="s">
        <v>798</v>
      </c>
      <c r="E20" s="161"/>
    </row>
    <row r="21" spans="1:5" ht="30">
      <c r="A21" s="35"/>
      <c r="B21" s="79">
        <v>2130</v>
      </c>
      <c r="C21" s="36"/>
      <c r="D21" s="37" t="s">
        <v>799</v>
      </c>
      <c r="E21" s="161"/>
    </row>
    <row r="22" spans="1:5" ht="16" thickBot="1">
      <c r="A22" s="38"/>
      <c r="B22" s="80">
        <v>2140</v>
      </c>
      <c r="C22" s="39"/>
      <c r="D22" s="40" t="s">
        <v>800</v>
      </c>
      <c r="E22" s="163"/>
    </row>
    <row r="23" spans="1:5">
      <c r="A23" s="41" t="s">
        <v>129</v>
      </c>
      <c r="B23" s="81">
        <v>3010</v>
      </c>
      <c r="C23" s="42"/>
      <c r="D23" s="43" t="s">
        <v>2042</v>
      </c>
      <c r="E23" s="164"/>
    </row>
    <row r="24" spans="1:5">
      <c r="A24" s="35"/>
      <c r="B24" s="79">
        <v>3004</v>
      </c>
      <c r="C24" s="36"/>
      <c r="D24" s="37" t="s">
        <v>1968</v>
      </c>
      <c r="E24" s="162"/>
    </row>
    <row r="25" spans="1:5">
      <c r="A25" s="35"/>
      <c r="B25" s="79">
        <v>3005</v>
      </c>
      <c r="C25" s="36"/>
      <c r="D25" s="37" t="s">
        <v>1969</v>
      </c>
      <c r="E25" s="162"/>
    </row>
    <row r="26" spans="1:5">
      <c r="A26" s="35"/>
      <c r="B26" s="79">
        <v>3020</v>
      </c>
      <c r="C26" s="36"/>
      <c r="D26" s="37" t="s">
        <v>801</v>
      </c>
      <c r="E26" s="162"/>
    </row>
    <row r="27" spans="1:5">
      <c r="A27" s="35"/>
      <c r="B27" s="79">
        <v>3030</v>
      </c>
      <c r="C27" s="36"/>
      <c r="D27" s="157" t="s">
        <v>2043</v>
      </c>
      <c r="E27" s="162"/>
    </row>
    <row r="28" spans="1:5" s="132" customFormat="1">
      <c r="A28" s="35"/>
      <c r="B28" s="79">
        <v>3100</v>
      </c>
      <c r="C28" s="36"/>
      <c r="D28" s="37" t="s">
        <v>1746</v>
      </c>
      <c r="E28" s="162"/>
    </row>
    <row r="29" spans="1:5" s="132" customFormat="1" ht="30">
      <c r="A29" s="35"/>
      <c r="B29" s="79">
        <v>3150</v>
      </c>
      <c r="C29" s="36"/>
      <c r="D29" s="37" t="s">
        <v>2005</v>
      </c>
      <c r="E29" s="162"/>
    </row>
    <row r="30" spans="1:5" s="132" customFormat="1" ht="16" thickBot="1">
      <c r="A30" s="38"/>
      <c r="B30" s="80">
        <v>3200</v>
      </c>
      <c r="C30" s="39"/>
      <c r="D30" s="40" t="s">
        <v>1747</v>
      </c>
      <c r="E30" s="163"/>
    </row>
    <row r="31" spans="1:5" ht="30">
      <c r="A31" s="41" t="s">
        <v>764</v>
      </c>
      <c r="B31" s="81">
        <v>1462</v>
      </c>
      <c r="C31" s="42"/>
      <c r="D31" s="43" t="s">
        <v>802</v>
      </c>
      <c r="E31" s="165"/>
    </row>
    <row r="32" spans="1:5" ht="60">
      <c r="A32" s="35"/>
      <c r="B32" s="79">
        <v>15000</v>
      </c>
      <c r="C32" s="36"/>
      <c r="D32" s="37" t="s">
        <v>803</v>
      </c>
      <c r="E32" s="161"/>
    </row>
    <row r="33" spans="1:5">
      <c r="A33" s="35"/>
      <c r="B33" s="79">
        <v>15010</v>
      </c>
      <c r="C33" s="36"/>
      <c r="D33" s="37" t="s">
        <v>804</v>
      </c>
      <c r="E33" s="161"/>
    </row>
    <row r="34" spans="1:5" ht="30">
      <c r="A34" s="35"/>
      <c r="B34" s="79">
        <v>5020</v>
      </c>
      <c r="C34" s="36"/>
      <c r="D34" s="37" t="s">
        <v>805</v>
      </c>
      <c r="E34" s="161"/>
    </row>
    <row r="35" spans="1:5">
      <c r="A35" s="35"/>
      <c r="B35" s="79">
        <v>5025</v>
      </c>
      <c r="C35" s="36"/>
      <c r="D35" s="157" t="s">
        <v>2044</v>
      </c>
      <c r="E35" s="162"/>
    </row>
    <row r="36" spans="1:5">
      <c r="A36" s="35"/>
      <c r="B36" s="79">
        <v>5027</v>
      </c>
      <c r="C36" s="36"/>
      <c r="D36" s="157" t="s">
        <v>2038</v>
      </c>
      <c r="E36" s="162"/>
    </row>
    <row r="37" spans="1:5">
      <c r="A37" s="35"/>
      <c r="B37" s="79">
        <v>15030</v>
      </c>
      <c r="C37" s="36"/>
      <c r="D37" s="37" t="s">
        <v>806</v>
      </c>
      <c r="E37" s="161"/>
    </row>
    <row r="38" spans="1:5">
      <c r="A38" s="35"/>
      <c r="B38" s="79">
        <v>15040</v>
      </c>
      <c r="C38" s="36"/>
      <c r="D38" s="37" t="s">
        <v>807</v>
      </c>
      <c r="E38" s="161"/>
    </row>
    <row r="39" spans="1:5">
      <c r="A39" s="35"/>
      <c r="B39" s="79">
        <v>5041</v>
      </c>
      <c r="C39" s="36"/>
      <c r="D39" s="37" t="s">
        <v>808</v>
      </c>
      <c r="E39" s="161"/>
    </row>
    <row r="40" spans="1:5">
      <c r="A40" s="35"/>
      <c r="B40" s="79">
        <v>5045</v>
      </c>
      <c r="C40" s="36"/>
      <c r="D40" s="157" t="s">
        <v>2041</v>
      </c>
      <c r="E40" s="162"/>
    </row>
    <row r="41" spans="1:5">
      <c r="A41" s="35"/>
      <c r="B41" s="79">
        <v>5050</v>
      </c>
      <c r="C41" s="36"/>
      <c r="D41" s="37" t="s">
        <v>809</v>
      </c>
      <c r="E41" s="161"/>
    </row>
    <row r="42" spans="1:5">
      <c r="A42" s="35"/>
      <c r="B42" s="79">
        <v>15060</v>
      </c>
      <c r="C42" s="36"/>
      <c r="D42" s="37" t="s">
        <v>810</v>
      </c>
      <c r="E42" s="161"/>
    </row>
    <row r="43" spans="1:5">
      <c r="A43" s="35"/>
      <c r="B43" s="79">
        <v>15080</v>
      </c>
      <c r="C43" s="36"/>
      <c r="D43" s="37" t="s">
        <v>811</v>
      </c>
      <c r="E43" s="161"/>
    </row>
    <row r="44" spans="1:5">
      <c r="A44" s="35"/>
      <c r="B44" s="79">
        <v>15100</v>
      </c>
      <c r="C44" s="36"/>
      <c r="D44" s="37" t="s">
        <v>812</v>
      </c>
      <c r="E44" s="161"/>
    </row>
    <row r="45" spans="1:5">
      <c r="A45" s="35"/>
      <c r="B45" s="79">
        <v>5110</v>
      </c>
      <c r="C45" s="36"/>
      <c r="D45" s="37" t="s">
        <v>813</v>
      </c>
      <c r="E45" s="161"/>
    </row>
    <row r="46" spans="1:5">
      <c r="A46" s="35"/>
      <c r="B46" s="79">
        <v>5111</v>
      </c>
      <c r="C46" s="36"/>
      <c r="D46" s="37" t="s">
        <v>814</v>
      </c>
      <c r="E46" s="161"/>
    </row>
    <row r="47" spans="1:5">
      <c r="A47" s="35"/>
      <c r="B47" s="79">
        <v>5120</v>
      </c>
      <c r="C47" s="36"/>
      <c r="D47" s="37" t="s">
        <v>815</v>
      </c>
      <c r="E47" s="161"/>
    </row>
    <row r="48" spans="1:5">
      <c r="A48" s="35"/>
      <c r="B48" s="79">
        <v>5121</v>
      </c>
      <c r="C48" s="36"/>
      <c r="D48" s="37" t="s">
        <v>816</v>
      </c>
      <c r="E48" s="161"/>
    </row>
    <row r="49" spans="1:11">
      <c r="A49" s="35"/>
      <c r="B49" s="79">
        <v>5130</v>
      </c>
      <c r="C49" s="36"/>
      <c r="D49" s="37" t="s">
        <v>817</v>
      </c>
      <c r="E49" s="161"/>
    </row>
    <row r="50" spans="1:11">
      <c r="A50" s="35"/>
      <c r="B50" s="79">
        <v>5140</v>
      </c>
      <c r="C50" s="36"/>
      <c r="D50" s="37" t="s">
        <v>1806</v>
      </c>
      <c r="E50" s="161"/>
    </row>
    <row r="51" spans="1:11">
      <c r="A51" s="35"/>
      <c r="B51" s="79">
        <v>5141</v>
      </c>
      <c r="C51" s="36"/>
      <c r="D51" s="157" t="s">
        <v>2039</v>
      </c>
      <c r="E51" s="162"/>
    </row>
    <row r="52" spans="1:11">
      <c r="A52" s="35"/>
      <c r="B52" s="79">
        <v>5142</v>
      </c>
      <c r="C52" s="36"/>
      <c r="D52" s="157" t="s">
        <v>2040</v>
      </c>
      <c r="E52" s="162"/>
    </row>
    <row r="53" spans="1:11">
      <c r="A53" s="35"/>
      <c r="B53" s="79">
        <v>5150</v>
      </c>
      <c r="C53" s="36"/>
      <c r="D53" s="37" t="s">
        <v>1460</v>
      </c>
      <c r="E53" s="161"/>
    </row>
    <row r="54" spans="1:11" ht="31" thickBot="1">
      <c r="A54" s="38"/>
      <c r="B54" s="80">
        <v>5155</v>
      </c>
      <c r="C54" s="39"/>
      <c r="D54" s="40" t="s">
        <v>1461</v>
      </c>
      <c r="E54" s="163"/>
    </row>
    <row r="55" spans="1:11" ht="16" thickBot="1">
      <c r="A55" s="76" t="s">
        <v>1851</v>
      </c>
      <c r="B55" s="82">
        <v>6000</v>
      </c>
      <c r="C55" s="54"/>
      <c r="D55" s="55" t="s">
        <v>1852</v>
      </c>
      <c r="E55" s="166"/>
    </row>
    <row r="56" spans="1:11" ht="30">
      <c r="A56" s="41" t="s">
        <v>788</v>
      </c>
      <c r="B56" s="81">
        <v>7004</v>
      </c>
      <c r="C56" s="42"/>
      <c r="D56" s="43" t="s">
        <v>818</v>
      </c>
      <c r="E56" s="164"/>
    </row>
    <row r="57" spans="1:11" ht="45">
      <c r="A57" s="35"/>
      <c r="B57" s="79">
        <v>7005</v>
      </c>
      <c r="C57" s="36"/>
      <c r="D57" s="37" t="s">
        <v>819</v>
      </c>
      <c r="E57" s="161"/>
    </row>
    <row r="58" spans="1:11" ht="30">
      <c r="A58" s="35"/>
      <c r="B58" s="79">
        <v>7006</v>
      </c>
      <c r="C58" s="36"/>
      <c r="D58" s="37" t="s">
        <v>820</v>
      </c>
      <c r="E58" s="161"/>
    </row>
    <row r="59" spans="1:11" ht="76" thickBot="1">
      <c r="A59" s="38"/>
      <c r="B59" s="80">
        <v>7007</v>
      </c>
      <c r="C59" s="39"/>
      <c r="D59" s="40" t="s">
        <v>821</v>
      </c>
      <c r="E59" s="163"/>
      <c r="K59" s="134" t="s">
        <v>1850</v>
      </c>
    </row>
    <row r="60" spans="1:11" ht="30">
      <c r="A60" s="41" t="s">
        <v>822</v>
      </c>
      <c r="B60" s="81">
        <v>7010</v>
      </c>
      <c r="C60" s="42"/>
      <c r="D60" s="43" t="s">
        <v>823</v>
      </c>
      <c r="E60" s="164"/>
    </row>
    <row r="61" spans="1:11" ht="30">
      <c r="A61" s="35"/>
      <c r="B61" s="79">
        <v>7011</v>
      </c>
      <c r="C61" s="36"/>
      <c r="D61" s="37" t="s">
        <v>824</v>
      </c>
      <c r="E61" s="161"/>
    </row>
    <row r="62" spans="1:11" ht="31" thickBot="1">
      <c r="A62" s="38"/>
      <c r="B62" s="80">
        <v>7012</v>
      </c>
      <c r="C62" s="39"/>
      <c r="D62" s="40" t="s">
        <v>825</v>
      </c>
      <c r="E62" s="163"/>
    </row>
    <row r="63" spans="1:11" ht="30">
      <c r="A63" s="41" t="s">
        <v>826</v>
      </c>
      <c r="B63" s="79">
        <v>7016</v>
      </c>
      <c r="C63" s="36"/>
      <c r="D63" s="37" t="s">
        <v>1444</v>
      </c>
      <c r="E63" s="162"/>
    </row>
    <row r="64" spans="1:11">
      <c r="A64" s="35"/>
      <c r="B64" s="79">
        <v>7017</v>
      </c>
      <c r="C64" s="36"/>
      <c r="D64" s="37" t="s">
        <v>1445</v>
      </c>
      <c r="E64" s="162"/>
    </row>
    <row r="65" spans="1:5" ht="16" thickBot="1">
      <c r="A65" s="75"/>
      <c r="B65" s="83">
        <v>7018</v>
      </c>
      <c r="C65" s="50"/>
      <c r="D65" s="51" t="s">
        <v>827</v>
      </c>
      <c r="E65" s="167"/>
    </row>
    <row r="66" spans="1:5" ht="16" thickBot="1">
      <c r="A66" s="76" t="s">
        <v>828</v>
      </c>
      <c r="B66" s="82">
        <v>7013</v>
      </c>
      <c r="C66" s="54"/>
      <c r="D66" s="55" t="s">
        <v>829</v>
      </c>
      <c r="E66" s="168"/>
    </row>
    <row r="67" spans="1:5" ht="30">
      <c r="A67" s="35" t="s">
        <v>1805</v>
      </c>
      <c r="B67" s="79">
        <v>2501</v>
      </c>
      <c r="C67" s="36"/>
      <c r="D67" s="37" t="s">
        <v>1803</v>
      </c>
      <c r="E67" s="162"/>
    </row>
    <row r="68" spans="1:5" ht="16" thickBot="1">
      <c r="A68" s="38"/>
      <c r="B68" s="80">
        <v>2502</v>
      </c>
      <c r="C68" s="39"/>
      <c r="D68" s="40" t="s">
        <v>1804</v>
      </c>
      <c r="E68" s="169"/>
    </row>
    <row r="69" spans="1:5" ht="60">
      <c r="A69" s="53" t="s">
        <v>1811</v>
      </c>
      <c r="B69" s="81">
        <v>8000</v>
      </c>
      <c r="C69" s="42"/>
      <c r="D69" s="43" t="s">
        <v>1462</v>
      </c>
      <c r="E69" s="164"/>
    </row>
    <row r="70" spans="1:5" ht="60">
      <c r="A70" s="46"/>
      <c r="B70" s="79">
        <v>8001</v>
      </c>
      <c r="C70" s="36"/>
      <c r="D70" s="37" t="s">
        <v>1468</v>
      </c>
      <c r="E70" s="161"/>
    </row>
    <row r="71" spans="1:5" ht="45">
      <c r="A71" s="46"/>
      <c r="B71" s="79">
        <v>8002</v>
      </c>
      <c r="C71" s="36"/>
      <c r="D71" s="37" t="s">
        <v>1469</v>
      </c>
      <c r="E71" s="161"/>
    </row>
    <row r="72" spans="1:5" ht="30">
      <c r="A72" s="46"/>
      <c r="B72" s="79">
        <v>8003</v>
      </c>
      <c r="C72" s="36"/>
      <c r="D72" s="37" t="s">
        <v>1463</v>
      </c>
      <c r="E72" s="161"/>
    </row>
    <row r="73" spans="1:5" ht="60">
      <c r="A73" s="46"/>
      <c r="B73" s="79">
        <v>8004</v>
      </c>
      <c r="C73" s="36"/>
      <c r="D73" s="37" t="s">
        <v>1470</v>
      </c>
      <c r="E73" s="161"/>
    </row>
    <row r="74" spans="1:5" ht="60">
      <c r="A74" s="46"/>
      <c r="B74" s="79">
        <v>8005</v>
      </c>
      <c r="C74" s="36"/>
      <c r="D74" s="37" t="s">
        <v>1471</v>
      </c>
      <c r="E74" s="161"/>
    </row>
    <row r="75" spans="1:5" ht="60">
      <c r="A75" s="46"/>
      <c r="B75" s="79">
        <v>8006</v>
      </c>
      <c r="C75" s="36"/>
      <c r="D75" s="37" t="s">
        <v>1464</v>
      </c>
      <c r="E75" s="161"/>
    </row>
    <row r="76" spans="1:5" ht="60">
      <c r="A76" s="46"/>
      <c r="B76" s="79">
        <v>8007</v>
      </c>
      <c r="C76" s="36"/>
      <c r="D76" s="37" t="s">
        <v>1465</v>
      </c>
      <c r="E76" s="161"/>
    </row>
    <row r="77" spans="1:5" ht="75">
      <c r="A77" s="46"/>
      <c r="B77" s="79">
        <v>8008</v>
      </c>
      <c r="C77" s="36"/>
      <c r="D77" s="37" t="s">
        <v>1466</v>
      </c>
      <c r="E77" s="161"/>
    </row>
    <row r="78" spans="1:5" ht="30">
      <c r="A78" s="46"/>
      <c r="B78" s="79">
        <v>8500</v>
      </c>
      <c r="C78" s="36"/>
      <c r="D78" s="37" t="s">
        <v>1361</v>
      </c>
      <c r="E78" s="161"/>
    </row>
    <row r="79" spans="1:5" ht="30">
      <c r="A79" s="46"/>
      <c r="B79" s="79">
        <v>8501</v>
      </c>
      <c r="C79" s="36"/>
      <c r="D79" s="37" t="s">
        <v>1467</v>
      </c>
      <c r="E79" s="161"/>
    </row>
    <row r="80" spans="1:5" ht="16" thickBot="1">
      <c r="A80" s="48"/>
      <c r="B80" s="80">
        <v>9101</v>
      </c>
      <c r="C80" s="39"/>
      <c r="D80" s="40" t="s">
        <v>830</v>
      </c>
      <c r="E80" s="163"/>
    </row>
  </sheetData>
  <sheetProtection sheet="1" objects="1" scenarios="1" sort="0" autoFilter="0"/>
  <pageMargins left="0.75" right="0.75" top="1" bottom="1" header="0.5" footer="0.5"/>
  <pageSetup orientation="portrait" horizontalDpi="4294967292" verticalDpi="4294967292"/>
  <headerFooter>
    <oddHeader>&amp;C&amp;"arial,Bold"&amp;10&amp;K3E8430Nokia Internal Use Only</oddHeader>
    <oddFooter>&amp;C&amp;"arial,Bold"&amp;10&amp;K3E8430Nokia Internal Use Only</oddFooter>
    <evenHeader>&amp;C&amp;"arial,Bold"&amp;10&amp;K3E8430Nokia Internal Use Only</evenHeader>
    <evenFooter>&amp;C&amp;"arial,Bold"&amp;10&amp;K3E8430Nokia Internal Use Only</evenFooter>
    <firstHeader>&amp;C&amp;"arial,Bold"&amp;10&amp;K3E8430Nokia Internal Use Only</firstHeader>
    <firstFooter>&amp;C&amp;"arial,Bold"&amp;10&amp;K3E8430Nokia Internal Use Only</firstFooter>
  </headerFooter>
  <legacyDrawing r:id="rId1"/>
  <tableParts count="1">
    <tablePart r:id="rId2"/>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pageSetUpPr fitToPage="1"/>
  </sheetPr>
  <dimension ref="A1:P278"/>
  <sheetViews>
    <sheetView workbookViewId="0">
      <pane xSplit="2" ySplit="1" topLeftCell="C206" activePane="bottomRight" state="frozen"/>
      <selection activeCell="D142" sqref="D142:G142"/>
      <selection pane="topRight" activeCell="D142" sqref="D142:G142"/>
      <selection pane="bottomLeft" activeCell="D142" sqref="D142:G142"/>
      <selection pane="bottomRight" activeCell="M222" sqref="M222"/>
    </sheetView>
  </sheetViews>
  <sheetFormatPr baseColWidth="10" defaultColWidth="9.1640625" defaultRowHeight="14" x14ac:dyDescent="0"/>
  <cols>
    <col min="1" max="1" width="10.6640625" style="233" customWidth="1"/>
    <col min="2" max="2" width="10.6640625" style="234" customWidth="1"/>
    <col min="3" max="6" width="3.33203125" style="235" customWidth="1"/>
    <col min="7" max="7" width="40.6640625" style="236" customWidth="1"/>
    <col min="8" max="8" width="12.6640625" style="237" customWidth="1"/>
    <col min="9" max="9" width="15.6640625" style="29" customWidth="1"/>
    <col min="10" max="10" width="9.1640625" style="218" hidden="1" customWidth="1"/>
    <col min="11" max="11" width="15.1640625" style="218" hidden="1" customWidth="1"/>
    <col min="12" max="12" width="9.1640625" style="218" hidden="1" customWidth="1"/>
    <col min="13" max="13" width="53" style="142" bestFit="1" customWidth="1"/>
    <col min="14" max="14" width="37" style="143" customWidth="1"/>
    <col min="15" max="15" width="9" style="143" bestFit="1" customWidth="1"/>
    <col min="16" max="16" width="9" style="143" customWidth="1"/>
    <col min="17" max="16384" width="9.1640625" style="218"/>
  </cols>
  <sheetData>
    <row r="1" spans="1:16" ht="29" customHeight="1" thickBot="1">
      <c r="A1" s="217" t="s">
        <v>0</v>
      </c>
      <c r="B1" s="137" t="s">
        <v>92</v>
      </c>
      <c r="C1" s="295" t="s">
        <v>70</v>
      </c>
      <c r="D1" s="296"/>
      <c r="E1" s="296"/>
      <c r="F1" s="296"/>
      <c r="G1" s="297"/>
      <c r="H1" s="137" t="s">
        <v>93</v>
      </c>
      <c r="I1" s="159" t="s">
        <v>20</v>
      </c>
      <c r="M1" s="136" t="s">
        <v>231</v>
      </c>
      <c r="N1" s="137" t="s">
        <v>1334</v>
      </c>
      <c r="O1" s="137" t="s">
        <v>1853</v>
      </c>
      <c r="P1" s="150" t="s">
        <v>1951</v>
      </c>
    </row>
    <row r="2" spans="1:16">
      <c r="A2" s="219" t="s">
        <v>5</v>
      </c>
      <c r="B2" s="178" t="s">
        <v>80</v>
      </c>
      <c r="C2" s="298" t="s">
        <v>81</v>
      </c>
      <c r="D2" s="299"/>
      <c r="E2" s="299"/>
      <c r="F2" s="299"/>
      <c r="G2" s="300"/>
      <c r="H2" s="220" t="s">
        <v>3</v>
      </c>
      <c r="I2" s="24" t="s">
        <v>90</v>
      </c>
      <c r="J2" s="218" t="s">
        <v>90</v>
      </c>
      <c r="K2" s="218" t="s">
        <v>3</v>
      </c>
      <c r="M2" s="138" t="s">
        <v>620</v>
      </c>
      <c r="N2" s="139" t="str">
        <f>IF(I2&lt;&gt;"Yes","Required feature.","")</f>
        <v>Required feature.</v>
      </c>
      <c r="O2" s="139"/>
      <c r="P2" s="151"/>
    </row>
    <row r="3" spans="1:16">
      <c r="A3" s="219" t="s">
        <v>5</v>
      </c>
      <c r="B3" s="178" t="s">
        <v>80</v>
      </c>
      <c r="C3" s="195"/>
      <c r="D3" s="272" t="s">
        <v>96</v>
      </c>
      <c r="E3" s="277"/>
      <c r="F3" s="277"/>
      <c r="G3" s="273"/>
      <c r="H3" s="183" t="s">
        <v>3</v>
      </c>
      <c r="I3" s="28" t="s">
        <v>90</v>
      </c>
      <c r="J3" s="218" t="s">
        <v>89</v>
      </c>
      <c r="K3" s="218" t="s">
        <v>4</v>
      </c>
      <c r="M3" s="138" t="s">
        <v>621</v>
      </c>
      <c r="N3" s="140" t="str">
        <f>IF(I3&lt;&gt;"Yes","Required feature.","")</f>
        <v>Required feature.</v>
      </c>
      <c r="O3" s="140"/>
      <c r="P3" s="140"/>
    </row>
    <row r="4" spans="1:16">
      <c r="A4" s="219" t="s">
        <v>5</v>
      </c>
      <c r="B4" s="178" t="s">
        <v>80</v>
      </c>
      <c r="C4" s="195"/>
      <c r="D4" s="195"/>
      <c r="E4" s="272" t="s">
        <v>95</v>
      </c>
      <c r="F4" s="277"/>
      <c r="G4" s="273"/>
      <c r="H4" s="183" t="s">
        <v>3</v>
      </c>
      <c r="I4" s="28" t="s">
        <v>90</v>
      </c>
      <c r="J4" s="218" t="s">
        <v>88</v>
      </c>
      <c r="K4" s="218" t="s">
        <v>94</v>
      </c>
      <c r="M4" s="138" t="s">
        <v>622</v>
      </c>
      <c r="N4" s="140" t="str">
        <f t="shared" ref="N4:N64" si="0">IF(I4&lt;&gt;"Yes","Required feature.","")</f>
        <v>Required feature.</v>
      </c>
      <c r="O4" s="140"/>
      <c r="P4" s="140"/>
    </row>
    <row r="5" spans="1:16">
      <c r="A5" s="219" t="s">
        <v>5</v>
      </c>
      <c r="B5" s="178" t="s">
        <v>80</v>
      </c>
      <c r="C5" s="195"/>
      <c r="D5" s="195"/>
      <c r="E5" s="272" t="s">
        <v>25</v>
      </c>
      <c r="F5" s="277"/>
      <c r="G5" s="273"/>
      <c r="H5" s="183" t="s">
        <v>3</v>
      </c>
      <c r="I5" s="28" t="s">
        <v>90</v>
      </c>
      <c r="K5" s="218" t="s">
        <v>91</v>
      </c>
      <c r="M5" s="138" t="s">
        <v>623</v>
      </c>
      <c r="N5" s="140" t="str">
        <f t="shared" si="0"/>
        <v>Required feature.</v>
      </c>
      <c r="O5" s="140"/>
      <c r="P5" s="140"/>
    </row>
    <row r="6" spans="1:16" s="184" customFormat="1">
      <c r="A6" s="219" t="s">
        <v>5</v>
      </c>
      <c r="B6" s="178" t="s">
        <v>80</v>
      </c>
      <c r="C6" s="195"/>
      <c r="D6" s="195"/>
      <c r="E6" s="272" t="s">
        <v>1832</v>
      </c>
      <c r="F6" s="277"/>
      <c r="G6" s="273"/>
      <c r="H6" s="183" t="s">
        <v>4</v>
      </c>
      <c r="I6" s="28" t="s">
        <v>90</v>
      </c>
      <c r="K6" s="184" t="s">
        <v>90</v>
      </c>
      <c r="M6" s="138" t="s">
        <v>1833</v>
      </c>
      <c r="N6" s="140" t="str">
        <f>IF(I6&lt;&gt;"Yes","Required feature.","")</f>
        <v>Required feature.</v>
      </c>
      <c r="O6" s="140"/>
      <c r="P6" s="140"/>
    </row>
    <row r="7" spans="1:16">
      <c r="A7" s="219" t="s">
        <v>5</v>
      </c>
      <c r="B7" s="178" t="s">
        <v>80</v>
      </c>
      <c r="C7" s="195"/>
      <c r="D7" s="195"/>
      <c r="E7" s="272" t="s">
        <v>202</v>
      </c>
      <c r="F7" s="277"/>
      <c r="G7" s="273"/>
      <c r="H7" s="183" t="s">
        <v>4</v>
      </c>
      <c r="I7" s="28" t="s">
        <v>90</v>
      </c>
      <c r="K7" s="218" t="s">
        <v>71</v>
      </c>
      <c r="M7" s="138" t="s">
        <v>313</v>
      </c>
      <c r="N7" s="140"/>
      <c r="O7" s="140"/>
      <c r="P7" s="140"/>
    </row>
    <row r="8" spans="1:16">
      <c r="A8" s="219" t="s">
        <v>5</v>
      </c>
      <c r="B8" s="178" t="s">
        <v>80</v>
      </c>
      <c r="C8" s="195"/>
      <c r="D8" s="195"/>
      <c r="E8" s="272" t="s">
        <v>97</v>
      </c>
      <c r="F8" s="277"/>
      <c r="G8" s="273"/>
      <c r="H8" s="183" t="s">
        <v>3</v>
      </c>
      <c r="I8" s="28" t="s">
        <v>90</v>
      </c>
      <c r="M8" s="138" t="s">
        <v>487</v>
      </c>
      <c r="N8" s="140" t="str">
        <f t="shared" si="0"/>
        <v>Required feature.</v>
      </c>
      <c r="O8" s="140"/>
      <c r="P8" s="140"/>
    </row>
    <row r="9" spans="1:16">
      <c r="A9" s="219" t="s">
        <v>5</v>
      </c>
      <c r="B9" s="178" t="s">
        <v>80</v>
      </c>
      <c r="C9" s="195"/>
      <c r="D9" s="195"/>
      <c r="E9" s="272" t="s">
        <v>26</v>
      </c>
      <c r="F9" s="277"/>
      <c r="G9" s="273"/>
      <c r="H9" s="183" t="s">
        <v>3</v>
      </c>
      <c r="I9" s="28" t="s">
        <v>90</v>
      </c>
      <c r="K9" s="218" t="s">
        <v>90</v>
      </c>
      <c r="M9" s="138" t="s">
        <v>624</v>
      </c>
      <c r="N9" s="140" t="str">
        <f t="shared" si="0"/>
        <v>Required feature.</v>
      </c>
      <c r="O9" s="140"/>
      <c r="P9" s="140"/>
    </row>
    <row r="10" spans="1:16">
      <c r="A10" s="219" t="s">
        <v>5</v>
      </c>
      <c r="B10" s="178" t="s">
        <v>80</v>
      </c>
      <c r="C10" s="195"/>
      <c r="D10" s="272" t="s">
        <v>21</v>
      </c>
      <c r="E10" s="277"/>
      <c r="F10" s="277"/>
      <c r="G10" s="273"/>
      <c r="H10" s="183" t="s">
        <v>4</v>
      </c>
      <c r="I10" s="28" t="s">
        <v>90</v>
      </c>
      <c r="K10" s="218" t="s">
        <v>139</v>
      </c>
      <c r="M10" s="138" t="s">
        <v>314</v>
      </c>
      <c r="N10" s="140"/>
      <c r="O10" s="140"/>
      <c r="P10" s="140"/>
    </row>
    <row r="11" spans="1:16" s="184" customFormat="1">
      <c r="A11" s="219" t="s">
        <v>5</v>
      </c>
      <c r="B11" s="178" t="s">
        <v>80</v>
      </c>
      <c r="C11" s="195"/>
      <c r="D11" s="195"/>
      <c r="E11" s="272" t="s">
        <v>1832</v>
      </c>
      <c r="F11" s="277"/>
      <c r="G11" s="273"/>
      <c r="H11" s="183" t="s">
        <v>4</v>
      </c>
      <c r="I11" s="28" t="s">
        <v>90</v>
      </c>
      <c r="K11" s="184" t="s">
        <v>136</v>
      </c>
      <c r="M11" s="138" t="s">
        <v>1834</v>
      </c>
      <c r="N11" s="140"/>
      <c r="O11" s="140"/>
      <c r="P11" s="140"/>
    </row>
    <row r="12" spans="1:16">
      <c r="A12" s="219" t="s">
        <v>5</v>
      </c>
      <c r="B12" s="178" t="s">
        <v>80</v>
      </c>
      <c r="C12" s="195"/>
      <c r="D12" s="195"/>
      <c r="E12" s="272" t="s">
        <v>84</v>
      </c>
      <c r="F12" s="277"/>
      <c r="G12" s="273"/>
      <c r="H12" s="183" t="s">
        <v>94</v>
      </c>
      <c r="I12" s="28" t="s">
        <v>90</v>
      </c>
      <c r="K12" s="218" t="s">
        <v>136</v>
      </c>
      <c r="M12" s="138" t="s">
        <v>315</v>
      </c>
      <c r="N12" s="140"/>
      <c r="O12" s="140"/>
      <c r="P12" s="140"/>
    </row>
    <row r="13" spans="1:16">
      <c r="A13" s="219" t="s">
        <v>5</v>
      </c>
      <c r="B13" s="178" t="s">
        <v>80</v>
      </c>
      <c r="C13" s="195"/>
      <c r="D13" s="195"/>
      <c r="E13" s="195"/>
      <c r="F13" s="272" t="s">
        <v>85</v>
      </c>
      <c r="G13" s="273"/>
      <c r="H13" s="183" t="s">
        <v>71</v>
      </c>
      <c r="I13" s="28" t="s">
        <v>90</v>
      </c>
      <c r="K13" s="218" t="s">
        <v>137</v>
      </c>
      <c r="M13" s="138" t="s">
        <v>316</v>
      </c>
      <c r="N13" s="140" t="str">
        <f>IF(AND(I12="Yes",I13&lt;&gt;"Yes"),"Required feature.","")</f>
        <v/>
      </c>
      <c r="O13" s="140"/>
      <c r="P13" s="140"/>
    </row>
    <row r="14" spans="1:16">
      <c r="A14" s="219" t="s">
        <v>5</v>
      </c>
      <c r="B14" s="178" t="s">
        <v>80</v>
      </c>
      <c r="C14" s="195"/>
      <c r="D14" s="195"/>
      <c r="E14" s="272" t="s">
        <v>87</v>
      </c>
      <c r="F14" s="277"/>
      <c r="G14" s="273"/>
      <c r="H14" s="183" t="s">
        <v>94</v>
      </c>
      <c r="I14" s="28" t="s">
        <v>90</v>
      </c>
      <c r="K14" s="218" t="s">
        <v>138</v>
      </c>
      <c r="M14" s="138" t="s">
        <v>384</v>
      </c>
      <c r="N14" s="140"/>
      <c r="O14" s="140"/>
      <c r="P14" s="140"/>
    </row>
    <row r="15" spans="1:16">
      <c r="A15" s="219" t="s">
        <v>5</v>
      </c>
      <c r="B15" s="178" t="s">
        <v>80</v>
      </c>
      <c r="C15" s="195"/>
      <c r="D15" s="195"/>
      <c r="E15" s="195"/>
      <c r="F15" s="272" t="s">
        <v>86</v>
      </c>
      <c r="G15" s="273"/>
      <c r="H15" s="183" t="s">
        <v>71</v>
      </c>
      <c r="I15" s="28" t="s">
        <v>90</v>
      </c>
      <c r="K15" s="218" t="s">
        <v>135</v>
      </c>
      <c r="M15" s="138" t="s">
        <v>385</v>
      </c>
      <c r="N15" s="140" t="str">
        <f>IF(AND(I14="Yes",I15&lt;&gt;"Yes"),"Required feature.","")</f>
        <v/>
      </c>
      <c r="O15" s="140"/>
      <c r="P15" s="140"/>
    </row>
    <row r="16" spans="1:16">
      <c r="A16" s="221" t="s">
        <v>5</v>
      </c>
      <c r="B16" s="178" t="s">
        <v>80</v>
      </c>
      <c r="C16" s="195"/>
      <c r="D16" s="272" t="s">
        <v>22</v>
      </c>
      <c r="E16" s="277"/>
      <c r="F16" s="277"/>
      <c r="G16" s="273"/>
      <c r="H16" s="183" t="s">
        <v>3</v>
      </c>
      <c r="I16" s="28" t="s">
        <v>90</v>
      </c>
      <c r="M16" s="138" t="s">
        <v>625</v>
      </c>
      <c r="N16" s="140" t="str">
        <f t="shared" si="0"/>
        <v>Required feature.</v>
      </c>
      <c r="O16" s="140"/>
      <c r="P16" s="140"/>
    </row>
    <row r="17" spans="1:16">
      <c r="A17" s="221" t="s">
        <v>5</v>
      </c>
      <c r="B17" s="178" t="s">
        <v>80</v>
      </c>
      <c r="C17" s="195"/>
      <c r="D17" s="195"/>
      <c r="E17" s="272" t="s">
        <v>23</v>
      </c>
      <c r="F17" s="277"/>
      <c r="G17" s="273"/>
      <c r="H17" s="183" t="s">
        <v>3</v>
      </c>
      <c r="I17" s="28" t="s">
        <v>90</v>
      </c>
      <c r="M17" s="138" t="s">
        <v>626</v>
      </c>
      <c r="N17" s="140" t="str">
        <f t="shared" si="0"/>
        <v>Required feature.</v>
      </c>
      <c r="O17" s="140"/>
      <c r="P17" s="140"/>
    </row>
    <row r="18" spans="1:16">
      <c r="A18" s="221" t="s">
        <v>5</v>
      </c>
      <c r="B18" s="178" t="s">
        <v>80</v>
      </c>
      <c r="C18" s="195"/>
      <c r="D18" s="195"/>
      <c r="E18" s="272" t="s">
        <v>24</v>
      </c>
      <c r="F18" s="277"/>
      <c r="G18" s="273"/>
      <c r="H18" s="183" t="s">
        <v>3</v>
      </c>
      <c r="I18" s="28" t="s">
        <v>90</v>
      </c>
      <c r="M18" s="138" t="s">
        <v>627</v>
      </c>
      <c r="N18" s="140" t="str">
        <f t="shared" si="0"/>
        <v>Required feature.</v>
      </c>
      <c r="O18" s="140"/>
      <c r="P18" s="140"/>
    </row>
    <row r="19" spans="1:16">
      <c r="A19" s="221" t="s">
        <v>5</v>
      </c>
      <c r="B19" s="178" t="s">
        <v>80</v>
      </c>
      <c r="C19" s="258"/>
      <c r="D19" s="258"/>
      <c r="E19" s="272" t="s">
        <v>24</v>
      </c>
      <c r="F19" s="277"/>
      <c r="G19" s="273"/>
      <c r="H19" s="183" t="s">
        <v>3</v>
      </c>
      <c r="I19" s="28" t="s">
        <v>90</v>
      </c>
      <c r="M19" s="138" t="s">
        <v>627</v>
      </c>
      <c r="N19" s="140" t="str">
        <f t="shared" ref="N19" si="1">IF(I19&lt;&gt;"Yes","Required feature.","")</f>
        <v>Required feature.</v>
      </c>
      <c r="O19" s="140"/>
      <c r="P19" s="140"/>
    </row>
    <row r="20" spans="1:16" s="184" customFormat="1">
      <c r="A20" s="260" t="s">
        <v>5</v>
      </c>
      <c r="B20" s="254" t="s">
        <v>80</v>
      </c>
      <c r="C20" s="255"/>
      <c r="D20" s="274" t="s">
        <v>2138</v>
      </c>
      <c r="E20" s="275"/>
      <c r="F20" s="275"/>
      <c r="G20" s="276"/>
      <c r="H20" s="190" t="s">
        <v>4</v>
      </c>
      <c r="I20" s="261" t="s">
        <v>90</v>
      </c>
      <c r="M20" s="171" t="s">
        <v>2141</v>
      </c>
      <c r="N20" s="215"/>
      <c r="O20" s="215" t="s">
        <v>2140</v>
      </c>
      <c r="P20" s="215" t="s">
        <v>1948</v>
      </c>
    </row>
    <row r="21" spans="1:16">
      <c r="A21" s="221" t="s">
        <v>5</v>
      </c>
      <c r="B21" s="181" t="s">
        <v>2</v>
      </c>
      <c r="C21" s="272" t="s">
        <v>98</v>
      </c>
      <c r="D21" s="277"/>
      <c r="E21" s="277"/>
      <c r="F21" s="277"/>
      <c r="G21" s="273"/>
      <c r="H21" s="183" t="s">
        <v>3</v>
      </c>
      <c r="I21" s="28" t="s">
        <v>90</v>
      </c>
      <c r="M21" s="138" t="s">
        <v>628</v>
      </c>
      <c r="N21" s="140" t="str">
        <f t="shared" si="0"/>
        <v>Required feature.</v>
      </c>
      <c r="O21" s="140"/>
      <c r="P21" s="140"/>
    </row>
    <row r="22" spans="1:16">
      <c r="A22" s="221" t="s">
        <v>5</v>
      </c>
      <c r="B22" s="181" t="s">
        <v>2</v>
      </c>
      <c r="C22" s="195"/>
      <c r="D22" s="280" t="s">
        <v>27</v>
      </c>
      <c r="E22" s="281"/>
      <c r="F22" s="281"/>
      <c r="G22" s="282"/>
      <c r="H22" s="183" t="s">
        <v>3</v>
      </c>
      <c r="I22" s="28" t="s">
        <v>90</v>
      </c>
      <c r="M22" s="138" t="s">
        <v>629</v>
      </c>
      <c r="N22" s="140" t="str">
        <f t="shared" si="0"/>
        <v>Required feature.</v>
      </c>
      <c r="O22" s="140"/>
      <c r="P22" s="140"/>
    </row>
    <row r="23" spans="1:16">
      <c r="A23" s="221" t="s">
        <v>5</v>
      </c>
      <c r="B23" s="181" t="s">
        <v>2</v>
      </c>
      <c r="C23" s="195"/>
      <c r="D23" s="182"/>
      <c r="E23" s="280" t="s">
        <v>28</v>
      </c>
      <c r="F23" s="281"/>
      <c r="G23" s="282"/>
      <c r="H23" s="183" t="s">
        <v>3</v>
      </c>
      <c r="I23" s="28" t="s">
        <v>90</v>
      </c>
      <c r="M23" s="138" t="s">
        <v>630</v>
      </c>
      <c r="N23" s="140" t="str">
        <f t="shared" si="0"/>
        <v>Required feature.</v>
      </c>
      <c r="O23" s="140"/>
      <c r="P23" s="140"/>
    </row>
    <row r="24" spans="1:16">
      <c r="A24" s="221" t="s">
        <v>5</v>
      </c>
      <c r="B24" s="181" t="s">
        <v>2</v>
      </c>
      <c r="C24" s="195"/>
      <c r="D24" s="280" t="s">
        <v>29</v>
      </c>
      <c r="E24" s="281"/>
      <c r="F24" s="281"/>
      <c r="G24" s="282"/>
      <c r="H24" s="183" t="s">
        <v>3</v>
      </c>
      <c r="I24" s="28" t="s">
        <v>90</v>
      </c>
      <c r="M24" s="138" t="s">
        <v>631</v>
      </c>
      <c r="N24" s="140" t="str">
        <f t="shared" si="0"/>
        <v>Required feature.</v>
      </c>
      <c r="O24" s="140"/>
      <c r="P24" s="140"/>
    </row>
    <row r="25" spans="1:16">
      <c r="A25" s="221" t="s">
        <v>5</v>
      </c>
      <c r="B25" s="181" t="s">
        <v>2</v>
      </c>
      <c r="C25" s="195"/>
      <c r="D25" s="182"/>
      <c r="E25" s="280" t="s">
        <v>30</v>
      </c>
      <c r="F25" s="281"/>
      <c r="G25" s="282"/>
      <c r="H25" s="183" t="s">
        <v>3</v>
      </c>
      <c r="I25" s="28" t="s">
        <v>90</v>
      </c>
      <c r="M25" s="138" t="s">
        <v>632</v>
      </c>
      <c r="N25" s="140" t="str">
        <f t="shared" si="0"/>
        <v>Required feature.</v>
      </c>
      <c r="O25" s="140"/>
      <c r="P25" s="140"/>
    </row>
    <row r="26" spans="1:16">
      <c r="A26" s="221" t="s">
        <v>5</v>
      </c>
      <c r="B26" s="181" t="s">
        <v>2</v>
      </c>
      <c r="C26" s="195"/>
      <c r="D26" s="280" t="s">
        <v>31</v>
      </c>
      <c r="E26" s="281"/>
      <c r="F26" s="281"/>
      <c r="G26" s="282"/>
      <c r="H26" s="183" t="s">
        <v>3</v>
      </c>
      <c r="I26" s="28" t="s">
        <v>90</v>
      </c>
      <c r="M26" s="138" t="s">
        <v>633</v>
      </c>
      <c r="N26" s="140" t="str">
        <f t="shared" si="0"/>
        <v>Required feature.</v>
      </c>
      <c r="O26" s="140"/>
      <c r="P26" s="140"/>
    </row>
    <row r="27" spans="1:16">
      <c r="A27" s="221" t="s">
        <v>5</v>
      </c>
      <c r="B27" s="181" t="s">
        <v>2</v>
      </c>
      <c r="C27" s="195"/>
      <c r="D27" s="182"/>
      <c r="E27" s="280" t="s">
        <v>32</v>
      </c>
      <c r="F27" s="281"/>
      <c r="G27" s="282"/>
      <c r="H27" s="183" t="s">
        <v>3</v>
      </c>
      <c r="I27" s="28" t="s">
        <v>90</v>
      </c>
      <c r="M27" s="138" t="s">
        <v>634</v>
      </c>
      <c r="N27" s="140" t="str">
        <f t="shared" si="0"/>
        <v>Required feature.</v>
      </c>
      <c r="O27" s="140"/>
      <c r="P27" s="140"/>
    </row>
    <row r="28" spans="1:16">
      <c r="A28" s="221" t="s">
        <v>5</v>
      </c>
      <c r="B28" s="181" t="s">
        <v>2</v>
      </c>
      <c r="C28" s="195"/>
      <c r="D28" s="182"/>
      <c r="E28" s="280" t="s">
        <v>33</v>
      </c>
      <c r="F28" s="281"/>
      <c r="G28" s="282"/>
      <c r="H28" s="183" t="s">
        <v>4</v>
      </c>
      <c r="I28" s="28" t="s">
        <v>90</v>
      </c>
      <c r="M28" s="138" t="s">
        <v>232</v>
      </c>
      <c r="N28" s="140"/>
      <c r="O28" s="140"/>
      <c r="P28" s="140"/>
    </row>
    <row r="29" spans="1:16">
      <c r="A29" s="221" t="s">
        <v>5</v>
      </c>
      <c r="B29" s="181" t="s">
        <v>2</v>
      </c>
      <c r="C29" s="195"/>
      <c r="D29" s="182"/>
      <c r="E29" s="280" t="s">
        <v>35</v>
      </c>
      <c r="F29" s="281"/>
      <c r="G29" s="282"/>
      <c r="H29" s="183" t="s">
        <v>3</v>
      </c>
      <c r="I29" s="28" t="s">
        <v>90</v>
      </c>
      <c r="M29" s="138" t="s">
        <v>635</v>
      </c>
      <c r="N29" s="140" t="str">
        <f t="shared" si="0"/>
        <v>Required feature.</v>
      </c>
      <c r="O29" s="140"/>
      <c r="P29" s="140"/>
    </row>
    <row r="30" spans="1:16">
      <c r="A30" s="221" t="s">
        <v>5</v>
      </c>
      <c r="B30" s="181" t="s">
        <v>2</v>
      </c>
      <c r="C30" s="195"/>
      <c r="D30" s="182"/>
      <c r="E30" s="280" t="s">
        <v>34</v>
      </c>
      <c r="F30" s="281"/>
      <c r="G30" s="282"/>
      <c r="H30" s="183" t="s">
        <v>4</v>
      </c>
      <c r="I30" s="28" t="s">
        <v>90</v>
      </c>
      <c r="M30" s="138" t="s">
        <v>233</v>
      </c>
      <c r="N30" s="140"/>
      <c r="O30" s="140"/>
      <c r="P30" s="140"/>
    </row>
    <row r="31" spans="1:16">
      <c r="A31" s="221" t="s">
        <v>5</v>
      </c>
      <c r="B31" s="181" t="s">
        <v>2</v>
      </c>
      <c r="C31" s="195"/>
      <c r="D31" s="182"/>
      <c r="E31" s="280" t="s">
        <v>36</v>
      </c>
      <c r="F31" s="281"/>
      <c r="G31" s="282"/>
      <c r="H31" s="183" t="s">
        <v>4</v>
      </c>
      <c r="I31" s="28" t="s">
        <v>90</v>
      </c>
      <c r="M31" s="138" t="s">
        <v>234</v>
      </c>
      <c r="N31" s="140"/>
      <c r="O31" s="140"/>
      <c r="P31" s="140"/>
    </row>
    <row r="32" spans="1:16">
      <c r="A32" s="221" t="s">
        <v>5</v>
      </c>
      <c r="B32" s="181" t="s">
        <v>2</v>
      </c>
      <c r="C32" s="195"/>
      <c r="D32" s="182"/>
      <c r="E32" s="280" t="s">
        <v>37</v>
      </c>
      <c r="F32" s="281"/>
      <c r="G32" s="282"/>
      <c r="H32" s="183" t="s">
        <v>4</v>
      </c>
      <c r="I32" s="28" t="s">
        <v>90</v>
      </c>
      <c r="M32" s="138" t="s">
        <v>235</v>
      </c>
      <c r="N32" s="140"/>
      <c r="O32" s="140"/>
      <c r="P32" s="140"/>
    </row>
    <row r="33" spans="1:16">
      <c r="A33" s="221" t="s">
        <v>5</v>
      </c>
      <c r="B33" s="181" t="s">
        <v>2</v>
      </c>
      <c r="C33" s="195"/>
      <c r="D33" s="182"/>
      <c r="E33" s="280" t="s">
        <v>100</v>
      </c>
      <c r="F33" s="281"/>
      <c r="G33" s="282"/>
      <c r="H33" s="183" t="s">
        <v>4</v>
      </c>
      <c r="I33" s="28" t="s">
        <v>90</v>
      </c>
      <c r="M33" s="138" t="s">
        <v>236</v>
      </c>
      <c r="N33" s="140"/>
      <c r="O33" s="140"/>
      <c r="P33" s="140"/>
    </row>
    <row r="34" spans="1:16">
      <c r="A34" s="221" t="s">
        <v>5</v>
      </c>
      <c r="B34" s="181" t="s">
        <v>2</v>
      </c>
      <c r="C34" s="195"/>
      <c r="D34" s="182"/>
      <c r="E34" s="280" t="s">
        <v>99</v>
      </c>
      <c r="F34" s="281"/>
      <c r="G34" s="282"/>
      <c r="H34" s="183" t="s">
        <v>4</v>
      </c>
      <c r="I34" s="28" t="s">
        <v>90</v>
      </c>
      <c r="M34" s="138" t="s">
        <v>237</v>
      </c>
      <c r="N34" s="140"/>
      <c r="O34" s="140"/>
      <c r="P34" s="140"/>
    </row>
    <row r="35" spans="1:16">
      <c r="A35" s="221" t="s">
        <v>5</v>
      </c>
      <c r="B35" s="181" t="s">
        <v>2</v>
      </c>
      <c r="C35" s="195"/>
      <c r="D35" s="280" t="s">
        <v>101</v>
      </c>
      <c r="E35" s="281"/>
      <c r="F35" s="281"/>
      <c r="G35" s="282"/>
      <c r="H35" s="183" t="s">
        <v>3</v>
      </c>
      <c r="I35" s="28" t="s">
        <v>90</v>
      </c>
      <c r="M35" s="138" t="s">
        <v>636</v>
      </c>
      <c r="N35" s="140" t="str">
        <f t="shared" si="0"/>
        <v>Required feature.</v>
      </c>
      <c r="O35" s="140"/>
      <c r="P35" s="140"/>
    </row>
    <row r="36" spans="1:16">
      <c r="A36" s="221" t="s">
        <v>5</v>
      </c>
      <c r="B36" s="181" t="s">
        <v>2</v>
      </c>
      <c r="C36" s="195"/>
      <c r="D36" s="182"/>
      <c r="E36" s="280" t="s">
        <v>192</v>
      </c>
      <c r="F36" s="281"/>
      <c r="G36" s="282"/>
      <c r="H36" s="183" t="s">
        <v>3</v>
      </c>
      <c r="I36" s="28" t="s">
        <v>90</v>
      </c>
      <c r="M36" s="138" t="s">
        <v>637</v>
      </c>
      <c r="N36" s="140" t="str">
        <f t="shared" si="0"/>
        <v>Required feature.</v>
      </c>
      <c r="O36" s="140"/>
      <c r="P36" s="140"/>
    </row>
    <row r="37" spans="1:16">
      <c r="A37" s="221" t="s">
        <v>5</v>
      </c>
      <c r="B37" s="181" t="s">
        <v>2</v>
      </c>
      <c r="C37" s="195"/>
      <c r="D37" s="182"/>
      <c r="E37" s="280" t="s">
        <v>193</v>
      </c>
      <c r="F37" s="281"/>
      <c r="G37" s="282"/>
      <c r="H37" s="183" t="s">
        <v>3</v>
      </c>
      <c r="I37" s="28" t="s">
        <v>90</v>
      </c>
      <c r="M37" s="138" t="s">
        <v>638</v>
      </c>
      <c r="N37" s="140" t="str">
        <f t="shared" si="0"/>
        <v>Required feature.</v>
      </c>
      <c r="O37" s="140"/>
      <c r="P37" s="140"/>
    </row>
    <row r="38" spans="1:16">
      <c r="A38" s="221" t="s">
        <v>5</v>
      </c>
      <c r="B38" s="181" t="s">
        <v>2</v>
      </c>
      <c r="C38" s="195"/>
      <c r="D38" s="182"/>
      <c r="E38" s="280" t="s">
        <v>141</v>
      </c>
      <c r="F38" s="281"/>
      <c r="G38" s="282"/>
      <c r="H38" s="183" t="s">
        <v>4</v>
      </c>
      <c r="I38" s="28" t="s">
        <v>90</v>
      </c>
      <c r="M38" s="138" t="s">
        <v>238</v>
      </c>
      <c r="N38" s="140"/>
      <c r="O38" s="140"/>
      <c r="P38" s="140"/>
    </row>
    <row r="39" spans="1:16">
      <c r="A39" s="221" t="s">
        <v>5</v>
      </c>
      <c r="B39" s="181" t="s">
        <v>2</v>
      </c>
      <c r="C39" s="195"/>
      <c r="D39" s="280" t="s">
        <v>102</v>
      </c>
      <c r="E39" s="281"/>
      <c r="F39" s="281"/>
      <c r="G39" s="282"/>
      <c r="H39" s="183" t="s">
        <v>3</v>
      </c>
      <c r="I39" s="28" t="s">
        <v>90</v>
      </c>
      <c r="M39" s="138" t="s">
        <v>639</v>
      </c>
      <c r="N39" s="140" t="str">
        <f t="shared" si="0"/>
        <v>Required feature.</v>
      </c>
      <c r="O39" s="140"/>
      <c r="P39" s="140"/>
    </row>
    <row r="40" spans="1:16">
      <c r="A40" s="221" t="s">
        <v>5</v>
      </c>
      <c r="B40" s="181" t="s">
        <v>2</v>
      </c>
      <c r="C40" s="195"/>
      <c r="D40" s="182"/>
      <c r="E40" s="280" t="s">
        <v>103</v>
      </c>
      <c r="F40" s="281"/>
      <c r="G40" s="282"/>
      <c r="H40" s="183" t="s">
        <v>4</v>
      </c>
      <c r="I40" s="28" t="s">
        <v>90</v>
      </c>
      <c r="M40" s="138" t="s">
        <v>239</v>
      </c>
      <c r="N40" s="140"/>
      <c r="O40" s="140"/>
      <c r="P40" s="140"/>
    </row>
    <row r="41" spans="1:16">
      <c r="A41" s="221" t="s">
        <v>5</v>
      </c>
      <c r="B41" s="181" t="s">
        <v>2</v>
      </c>
      <c r="C41" s="195"/>
      <c r="D41" s="182"/>
      <c r="E41" s="280" t="s">
        <v>104</v>
      </c>
      <c r="F41" s="281"/>
      <c r="G41" s="282"/>
      <c r="H41" s="183" t="s">
        <v>4</v>
      </c>
      <c r="I41" s="28" t="s">
        <v>90</v>
      </c>
      <c r="M41" s="138" t="s">
        <v>240</v>
      </c>
      <c r="N41" s="140"/>
      <c r="O41" s="140"/>
      <c r="P41" s="140"/>
    </row>
    <row r="42" spans="1:16">
      <c r="A42" s="221" t="s">
        <v>5</v>
      </c>
      <c r="B42" s="181" t="s">
        <v>2</v>
      </c>
      <c r="C42" s="195"/>
      <c r="D42" s="182"/>
      <c r="E42" s="280" t="s">
        <v>1978</v>
      </c>
      <c r="F42" s="281"/>
      <c r="G42" s="282"/>
      <c r="H42" s="183" t="s">
        <v>71</v>
      </c>
      <c r="I42" s="28" t="s">
        <v>90</v>
      </c>
      <c r="M42" s="138" t="s">
        <v>241</v>
      </c>
      <c r="N42" s="140" t="s">
        <v>1981</v>
      </c>
      <c r="O42" s="140"/>
      <c r="P42" s="140" t="s">
        <v>1949</v>
      </c>
    </row>
    <row r="43" spans="1:16">
      <c r="A43" s="221" t="s">
        <v>5</v>
      </c>
      <c r="B43" s="181" t="s">
        <v>2</v>
      </c>
      <c r="C43" s="195"/>
      <c r="D43" s="182"/>
      <c r="E43" s="280" t="s">
        <v>189</v>
      </c>
      <c r="F43" s="281"/>
      <c r="G43" s="282"/>
      <c r="H43" s="183" t="s">
        <v>3</v>
      </c>
      <c r="I43" s="28" t="s">
        <v>90</v>
      </c>
      <c r="M43" s="138" t="s">
        <v>640</v>
      </c>
      <c r="N43" s="140" t="str">
        <f t="shared" si="0"/>
        <v>Required feature.</v>
      </c>
      <c r="O43" s="140"/>
      <c r="P43" s="140"/>
    </row>
    <row r="44" spans="1:16">
      <c r="A44" s="221" t="s">
        <v>5</v>
      </c>
      <c r="B44" s="181" t="s">
        <v>2</v>
      </c>
      <c r="C44" s="195"/>
      <c r="D44" s="182"/>
      <c r="E44" s="280" t="s">
        <v>188</v>
      </c>
      <c r="F44" s="281"/>
      <c r="G44" s="282"/>
      <c r="H44" s="183" t="s">
        <v>3</v>
      </c>
      <c r="I44" s="28" t="s">
        <v>90</v>
      </c>
      <c r="M44" s="138" t="s">
        <v>641</v>
      </c>
      <c r="N44" s="140" t="str">
        <f t="shared" si="0"/>
        <v>Required feature.</v>
      </c>
      <c r="O44" s="140"/>
      <c r="P44" s="140"/>
    </row>
    <row r="45" spans="1:16">
      <c r="A45" s="221" t="s">
        <v>5</v>
      </c>
      <c r="B45" s="181" t="s">
        <v>2</v>
      </c>
      <c r="C45" s="182"/>
      <c r="D45" s="182" t="s">
        <v>38</v>
      </c>
      <c r="E45" s="182"/>
      <c r="F45" s="182"/>
      <c r="G45" s="186"/>
      <c r="H45" s="183" t="s">
        <v>3</v>
      </c>
      <c r="I45" s="28" t="s">
        <v>90</v>
      </c>
      <c r="M45" s="138" t="s">
        <v>642</v>
      </c>
      <c r="N45" s="140" t="str">
        <f t="shared" si="0"/>
        <v>Required feature.</v>
      </c>
      <c r="O45" s="140"/>
      <c r="P45" s="140"/>
    </row>
    <row r="46" spans="1:16">
      <c r="A46" s="221" t="s">
        <v>5</v>
      </c>
      <c r="B46" s="181" t="s">
        <v>2</v>
      </c>
      <c r="C46" s="182"/>
      <c r="D46" s="182"/>
      <c r="E46" s="280" t="s">
        <v>107</v>
      </c>
      <c r="F46" s="281"/>
      <c r="G46" s="282"/>
      <c r="H46" s="183" t="s">
        <v>3</v>
      </c>
      <c r="I46" s="28" t="s">
        <v>90</v>
      </c>
      <c r="M46" s="138" t="s">
        <v>486</v>
      </c>
      <c r="N46" s="140" t="str">
        <f t="shared" si="0"/>
        <v>Required feature.</v>
      </c>
      <c r="O46" s="140"/>
      <c r="P46" s="140"/>
    </row>
    <row r="47" spans="1:16">
      <c r="A47" s="221" t="s">
        <v>5</v>
      </c>
      <c r="B47" s="181" t="s">
        <v>2</v>
      </c>
      <c r="C47" s="182"/>
      <c r="D47" s="182"/>
      <c r="E47" s="280" t="s">
        <v>108</v>
      </c>
      <c r="F47" s="281"/>
      <c r="G47" s="282"/>
      <c r="H47" s="183" t="s">
        <v>4</v>
      </c>
      <c r="I47" s="28" t="s">
        <v>90</v>
      </c>
      <c r="M47" s="138" t="s">
        <v>242</v>
      </c>
      <c r="N47" s="140"/>
      <c r="O47" s="140"/>
      <c r="P47" s="140"/>
    </row>
    <row r="48" spans="1:16">
      <c r="A48" s="221" t="s">
        <v>5</v>
      </c>
      <c r="B48" s="181" t="s">
        <v>2</v>
      </c>
      <c r="C48" s="182"/>
      <c r="D48" s="182"/>
      <c r="E48" s="280" t="s">
        <v>109</v>
      </c>
      <c r="F48" s="281"/>
      <c r="G48" s="282"/>
      <c r="H48" s="183" t="s">
        <v>3</v>
      </c>
      <c r="I48" s="28" t="s">
        <v>90</v>
      </c>
      <c r="M48" s="138" t="s">
        <v>243</v>
      </c>
      <c r="N48" s="140"/>
      <c r="O48" s="140"/>
      <c r="P48" s="140"/>
    </row>
    <row r="49" spans="1:16">
      <c r="A49" s="221" t="s">
        <v>5</v>
      </c>
      <c r="B49" s="181" t="s">
        <v>2</v>
      </c>
      <c r="C49" s="182"/>
      <c r="D49" s="182"/>
      <c r="E49" s="280" t="s">
        <v>39</v>
      </c>
      <c r="F49" s="281"/>
      <c r="G49" s="282"/>
      <c r="H49" s="183" t="s">
        <v>4</v>
      </c>
      <c r="I49" s="28" t="s">
        <v>90</v>
      </c>
      <c r="M49" s="138" t="s">
        <v>244</v>
      </c>
      <c r="N49" s="140"/>
      <c r="O49" s="140"/>
      <c r="P49" s="140"/>
    </row>
    <row r="50" spans="1:16">
      <c r="A50" s="221" t="s">
        <v>5</v>
      </c>
      <c r="B50" s="181" t="s">
        <v>2</v>
      </c>
      <c r="C50" s="182"/>
      <c r="D50" s="182"/>
      <c r="E50" s="280" t="s">
        <v>110</v>
      </c>
      <c r="F50" s="281"/>
      <c r="G50" s="282"/>
      <c r="H50" s="183" t="s">
        <v>4</v>
      </c>
      <c r="I50" s="28" t="s">
        <v>90</v>
      </c>
      <c r="M50" s="138" t="s">
        <v>245</v>
      </c>
      <c r="N50" s="140"/>
      <c r="O50" s="140"/>
      <c r="P50" s="140"/>
    </row>
    <row r="51" spans="1:16">
      <c r="A51" s="221" t="s">
        <v>5</v>
      </c>
      <c r="B51" s="181" t="s">
        <v>2</v>
      </c>
      <c r="C51" s="182"/>
      <c r="D51" s="182"/>
      <c r="E51" s="280" t="s">
        <v>111</v>
      </c>
      <c r="F51" s="281"/>
      <c r="G51" s="282"/>
      <c r="H51" s="183" t="s">
        <v>4</v>
      </c>
      <c r="I51" s="28" t="s">
        <v>90</v>
      </c>
      <c r="M51" s="138" t="s">
        <v>246</v>
      </c>
      <c r="N51" s="140"/>
      <c r="O51" s="140"/>
      <c r="P51" s="140"/>
    </row>
    <row r="52" spans="1:16">
      <c r="A52" s="221" t="s">
        <v>5</v>
      </c>
      <c r="B52" s="181" t="s">
        <v>2</v>
      </c>
      <c r="C52" s="182"/>
      <c r="D52" s="182"/>
      <c r="E52" s="280" t="s">
        <v>191</v>
      </c>
      <c r="F52" s="281"/>
      <c r="G52" s="282"/>
      <c r="H52" s="183" t="s">
        <v>4</v>
      </c>
      <c r="I52" s="28" t="s">
        <v>90</v>
      </c>
      <c r="M52" s="138" t="s">
        <v>247</v>
      </c>
      <c r="N52" s="140"/>
      <c r="O52" s="140"/>
      <c r="P52" s="140"/>
    </row>
    <row r="53" spans="1:16" s="184" customFormat="1" ht="14" customHeight="1">
      <c r="A53" s="221" t="s">
        <v>5</v>
      </c>
      <c r="B53" s="181" t="s">
        <v>2</v>
      </c>
      <c r="C53" s="182"/>
      <c r="D53" s="182"/>
      <c r="E53" s="278" t="s">
        <v>1879</v>
      </c>
      <c r="F53" s="278"/>
      <c r="G53" s="278"/>
      <c r="H53" s="222" t="s">
        <v>3</v>
      </c>
      <c r="I53" s="28" t="s">
        <v>90</v>
      </c>
      <c r="M53" s="138" t="s">
        <v>248</v>
      </c>
      <c r="N53" s="140"/>
      <c r="O53" s="140"/>
      <c r="P53" s="140"/>
    </row>
    <row r="54" spans="1:16">
      <c r="A54" s="221" t="s">
        <v>5</v>
      </c>
      <c r="B54" s="181" t="s">
        <v>2</v>
      </c>
      <c r="C54" s="182"/>
      <c r="D54" s="279" t="s">
        <v>119</v>
      </c>
      <c r="E54" s="279"/>
      <c r="F54" s="279"/>
      <c r="G54" s="279"/>
      <c r="H54" s="183" t="s">
        <v>3</v>
      </c>
      <c r="I54" s="28" t="s">
        <v>90</v>
      </c>
      <c r="M54" s="138" t="s">
        <v>643</v>
      </c>
      <c r="N54" s="140" t="str">
        <f t="shared" si="0"/>
        <v>Required feature.</v>
      </c>
      <c r="O54" s="140"/>
      <c r="P54" s="140"/>
    </row>
    <row r="55" spans="1:16">
      <c r="A55" s="221" t="s">
        <v>5</v>
      </c>
      <c r="B55" s="181" t="s">
        <v>2</v>
      </c>
      <c r="C55" s="182"/>
      <c r="D55" s="182"/>
      <c r="E55" s="279" t="s">
        <v>112</v>
      </c>
      <c r="F55" s="279"/>
      <c r="G55" s="279"/>
      <c r="H55" s="183" t="s">
        <v>3</v>
      </c>
      <c r="I55" s="28" t="s">
        <v>90</v>
      </c>
      <c r="M55" s="138" t="s">
        <v>644</v>
      </c>
      <c r="N55" s="140" t="str">
        <f t="shared" si="0"/>
        <v>Required feature.</v>
      </c>
      <c r="O55" s="140"/>
      <c r="P55" s="140"/>
    </row>
    <row r="56" spans="1:16">
      <c r="A56" s="221" t="s">
        <v>5</v>
      </c>
      <c r="B56" s="181" t="s">
        <v>2</v>
      </c>
      <c r="C56" s="182"/>
      <c r="D56" s="182"/>
      <c r="E56" s="279" t="s">
        <v>113</v>
      </c>
      <c r="F56" s="279"/>
      <c r="G56" s="279"/>
      <c r="H56" s="183" t="s">
        <v>3</v>
      </c>
      <c r="I56" s="28" t="s">
        <v>90</v>
      </c>
      <c r="M56" s="138" t="s">
        <v>648</v>
      </c>
      <c r="N56" s="140" t="str">
        <f t="shared" si="0"/>
        <v>Required feature.</v>
      </c>
      <c r="O56" s="140"/>
      <c r="P56" s="140"/>
    </row>
    <row r="57" spans="1:16">
      <c r="A57" s="221" t="s">
        <v>5</v>
      </c>
      <c r="B57" s="181" t="s">
        <v>2</v>
      </c>
      <c r="C57" s="182"/>
      <c r="D57" s="182"/>
      <c r="E57" s="279" t="s">
        <v>114</v>
      </c>
      <c r="F57" s="279"/>
      <c r="G57" s="279"/>
      <c r="H57" s="183" t="s">
        <v>3</v>
      </c>
      <c r="I57" s="28" t="s">
        <v>90</v>
      </c>
      <c r="M57" s="138" t="s">
        <v>649</v>
      </c>
      <c r="N57" s="140" t="str">
        <f t="shared" si="0"/>
        <v>Required feature.</v>
      </c>
      <c r="O57" s="140"/>
      <c r="P57" s="140"/>
    </row>
    <row r="58" spans="1:16">
      <c r="A58" s="221" t="s">
        <v>5</v>
      </c>
      <c r="B58" s="181" t="s">
        <v>2</v>
      </c>
      <c r="C58" s="182"/>
      <c r="D58" s="182"/>
      <c r="E58" s="279" t="s">
        <v>115</v>
      </c>
      <c r="F58" s="279"/>
      <c r="G58" s="279"/>
      <c r="H58" s="183" t="s">
        <v>3</v>
      </c>
      <c r="I58" s="28" t="s">
        <v>90</v>
      </c>
      <c r="M58" s="138" t="s">
        <v>647</v>
      </c>
      <c r="N58" s="140" t="str">
        <f t="shared" si="0"/>
        <v>Required feature.</v>
      </c>
      <c r="O58" s="140"/>
      <c r="P58" s="140"/>
    </row>
    <row r="59" spans="1:16">
      <c r="A59" s="221" t="s">
        <v>5</v>
      </c>
      <c r="B59" s="181" t="s">
        <v>2</v>
      </c>
      <c r="C59" s="182"/>
      <c r="D59" s="182"/>
      <c r="E59" s="279" t="s">
        <v>116</v>
      </c>
      <c r="F59" s="279"/>
      <c r="G59" s="279"/>
      <c r="H59" s="183" t="s">
        <v>3</v>
      </c>
      <c r="I59" s="28" t="s">
        <v>90</v>
      </c>
      <c r="M59" s="138" t="s">
        <v>645</v>
      </c>
      <c r="N59" s="140" t="str">
        <f t="shared" si="0"/>
        <v>Required feature.</v>
      </c>
      <c r="O59" s="140"/>
      <c r="P59" s="140"/>
    </row>
    <row r="60" spans="1:16">
      <c r="A60" s="221" t="s">
        <v>5</v>
      </c>
      <c r="B60" s="181" t="s">
        <v>2</v>
      </c>
      <c r="C60" s="182"/>
      <c r="D60" s="182"/>
      <c r="E60" s="279" t="s">
        <v>117</v>
      </c>
      <c r="F60" s="279"/>
      <c r="G60" s="279"/>
      <c r="H60" s="183" t="s">
        <v>3</v>
      </c>
      <c r="I60" s="28" t="s">
        <v>90</v>
      </c>
      <c r="M60" s="138" t="s">
        <v>646</v>
      </c>
      <c r="N60" s="140" t="str">
        <f t="shared" si="0"/>
        <v>Required feature.</v>
      </c>
      <c r="O60" s="140"/>
      <c r="P60" s="140"/>
    </row>
    <row r="61" spans="1:16">
      <c r="A61" s="221" t="s">
        <v>5</v>
      </c>
      <c r="B61" s="181" t="s">
        <v>2</v>
      </c>
      <c r="C61" s="182"/>
      <c r="D61" s="182"/>
      <c r="E61" s="279" t="s">
        <v>118</v>
      </c>
      <c r="F61" s="279"/>
      <c r="G61" s="279"/>
      <c r="H61" s="183" t="s">
        <v>3</v>
      </c>
      <c r="I61" s="28" t="s">
        <v>90</v>
      </c>
      <c r="M61" s="138" t="s">
        <v>251</v>
      </c>
      <c r="N61" s="140"/>
      <c r="O61" s="140"/>
      <c r="P61" s="140"/>
    </row>
    <row r="62" spans="1:16">
      <c r="A62" s="221" t="s">
        <v>5</v>
      </c>
      <c r="B62" s="181" t="s">
        <v>2</v>
      </c>
      <c r="C62" s="182"/>
      <c r="D62" s="279" t="s">
        <v>120</v>
      </c>
      <c r="E62" s="279"/>
      <c r="F62" s="279"/>
      <c r="G62" s="279"/>
      <c r="H62" s="183" t="s">
        <v>3</v>
      </c>
      <c r="I62" s="28" t="s">
        <v>90</v>
      </c>
      <c r="M62" s="138" t="s">
        <v>650</v>
      </c>
      <c r="N62" s="140" t="str">
        <f t="shared" si="0"/>
        <v>Required feature.</v>
      </c>
      <c r="O62" s="140"/>
      <c r="P62" s="140"/>
    </row>
    <row r="63" spans="1:16">
      <c r="A63" s="221" t="s">
        <v>5</v>
      </c>
      <c r="B63" s="181" t="s">
        <v>2</v>
      </c>
      <c r="C63" s="182"/>
      <c r="D63" s="182"/>
      <c r="E63" s="279" t="s">
        <v>121</v>
      </c>
      <c r="F63" s="279"/>
      <c r="G63" s="279"/>
      <c r="H63" s="183" t="s">
        <v>3</v>
      </c>
      <c r="I63" s="28" t="s">
        <v>90</v>
      </c>
      <c r="M63" s="138" t="s">
        <v>651</v>
      </c>
      <c r="N63" s="140" t="str">
        <f t="shared" si="0"/>
        <v>Required feature.</v>
      </c>
      <c r="O63" s="140"/>
      <c r="P63" s="140"/>
    </row>
    <row r="64" spans="1:16">
      <c r="A64" s="221" t="s">
        <v>5</v>
      </c>
      <c r="B64" s="181" t="s">
        <v>2</v>
      </c>
      <c r="C64" s="182"/>
      <c r="D64" s="182"/>
      <c r="E64" s="279" t="s">
        <v>49</v>
      </c>
      <c r="F64" s="279"/>
      <c r="G64" s="279"/>
      <c r="H64" s="183" t="s">
        <v>3</v>
      </c>
      <c r="I64" s="28" t="s">
        <v>90</v>
      </c>
      <c r="M64" s="138" t="s">
        <v>252</v>
      </c>
      <c r="N64" s="140" t="str">
        <f t="shared" si="0"/>
        <v>Required feature.</v>
      </c>
      <c r="O64" s="140"/>
      <c r="P64" s="140"/>
    </row>
    <row r="65" spans="1:16">
      <c r="A65" s="221" t="s">
        <v>5</v>
      </c>
      <c r="B65" s="181" t="s">
        <v>2</v>
      </c>
      <c r="C65" s="182"/>
      <c r="D65" s="182"/>
      <c r="E65" s="182"/>
      <c r="F65" s="182" t="s">
        <v>1340</v>
      </c>
      <c r="G65" s="182"/>
      <c r="H65" s="183" t="s">
        <v>4</v>
      </c>
      <c r="I65" s="28" t="s">
        <v>90</v>
      </c>
      <c r="M65" s="138" t="s">
        <v>1342</v>
      </c>
      <c r="N65" s="140"/>
      <c r="O65" s="140"/>
      <c r="P65" s="140"/>
    </row>
    <row r="66" spans="1:16" s="184" customFormat="1">
      <c r="A66" s="221" t="s">
        <v>5</v>
      </c>
      <c r="B66" s="181" t="s">
        <v>2</v>
      </c>
      <c r="C66" s="182"/>
      <c r="D66" s="182"/>
      <c r="E66" s="182"/>
      <c r="F66" s="182"/>
      <c r="G66" s="182" t="s">
        <v>1929</v>
      </c>
      <c r="H66" s="183" t="s">
        <v>71</v>
      </c>
      <c r="I66" s="28" t="s">
        <v>90</v>
      </c>
      <c r="M66" s="138" t="s">
        <v>249</v>
      </c>
      <c r="N66" s="140" t="str">
        <f>IF(I66&lt;&gt;"Yes","Required feature.","")</f>
        <v>Required feature.</v>
      </c>
      <c r="O66" s="140"/>
      <c r="P66" s="140"/>
    </row>
    <row r="67" spans="1:16" s="184" customFormat="1">
      <c r="A67" s="221" t="s">
        <v>5</v>
      </c>
      <c r="B67" s="181" t="s">
        <v>2</v>
      </c>
      <c r="C67" s="182"/>
      <c r="D67" s="182"/>
      <c r="E67" s="182"/>
      <c r="F67" s="182" t="s">
        <v>1930</v>
      </c>
      <c r="G67" s="182"/>
      <c r="H67" s="183" t="s">
        <v>3</v>
      </c>
      <c r="I67" s="28" t="s">
        <v>90</v>
      </c>
      <c r="M67" s="138" t="s">
        <v>1934</v>
      </c>
      <c r="N67" s="140" t="str">
        <f>IF(I67&lt;&gt;"Yes","Required feature.","")</f>
        <v>Required feature.</v>
      </c>
      <c r="O67" s="140"/>
      <c r="P67" s="140"/>
    </row>
    <row r="68" spans="1:16">
      <c r="A68" s="221" t="s">
        <v>5</v>
      </c>
      <c r="B68" s="181" t="s">
        <v>2</v>
      </c>
      <c r="C68" s="182"/>
      <c r="D68" s="182"/>
      <c r="E68" s="279" t="s">
        <v>41</v>
      </c>
      <c r="F68" s="279"/>
      <c r="G68" s="279"/>
      <c r="H68" s="183" t="s">
        <v>4</v>
      </c>
      <c r="I68" s="28" t="s">
        <v>90</v>
      </c>
      <c r="M68" s="138" t="s">
        <v>253</v>
      </c>
      <c r="N68" s="140"/>
      <c r="O68" s="140"/>
      <c r="P68" s="140"/>
    </row>
    <row r="69" spans="1:16" s="184" customFormat="1">
      <c r="A69" s="221" t="s">
        <v>5</v>
      </c>
      <c r="B69" s="181" t="s">
        <v>2</v>
      </c>
      <c r="C69" s="182"/>
      <c r="D69" s="182"/>
      <c r="E69" s="182"/>
      <c r="F69" s="182" t="s">
        <v>1931</v>
      </c>
      <c r="G69" s="182"/>
      <c r="H69" s="183" t="s">
        <v>4</v>
      </c>
      <c r="I69" s="28" t="s">
        <v>90</v>
      </c>
      <c r="M69" s="138" t="s">
        <v>250</v>
      </c>
      <c r="N69" s="140"/>
      <c r="O69" s="140"/>
      <c r="P69" s="140"/>
    </row>
    <row r="70" spans="1:16">
      <c r="A70" s="221" t="s">
        <v>5</v>
      </c>
      <c r="B70" s="181" t="s">
        <v>2</v>
      </c>
      <c r="C70" s="182"/>
      <c r="D70" s="182"/>
      <c r="E70" s="279" t="s">
        <v>47</v>
      </c>
      <c r="F70" s="279"/>
      <c r="G70" s="279"/>
      <c r="H70" s="183" t="s">
        <v>3</v>
      </c>
      <c r="I70" s="28" t="s">
        <v>90</v>
      </c>
      <c r="M70" s="138" t="s">
        <v>652</v>
      </c>
      <c r="N70" s="140" t="str">
        <f t="shared" ref="N70:N127" si="2">IF(I70&lt;&gt;"Yes","Required feature.","")</f>
        <v>Required feature.</v>
      </c>
      <c r="O70" s="140"/>
      <c r="P70" s="140"/>
    </row>
    <row r="71" spans="1:16">
      <c r="A71" s="221" t="s">
        <v>5</v>
      </c>
      <c r="B71" s="181" t="s">
        <v>2</v>
      </c>
      <c r="C71" s="182"/>
      <c r="D71" s="182"/>
      <c r="E71" s="279" t="s">
        <v>48</v>
      </c>
      <c r="F71" s="279"/>
      <c r="G71" s="279"/>
      <c r="H71" s="183" t="s">
        <v>3</v>
      </c>
      <c r="I71" s="28" t="s">
        <v>90</v>
      </c>
      <c r="M71" s="138" t="s">
        <v>254</v>
      </c>
      <c r="N71" s="140" t="str">
        <f t="shared" si="2"/>
        <v>Required feature.</v>
      </c>
      <c r="O71" s="140"/>
      <c r="P71" s="140"/>
    </row>
    <row r="72" spans="1:16">
      <c r="A72" s="221" t="s">
        <v>5</v>
      </c>
      <c r="B72" s="181" t="s">
        <v>2</v>
      </c>
      <c r="C72" s="182"/>
      <c r="D72" s="182"/>
      <c r="E72" s="182"/>
      <c r="F72" s="272" t="s">
        <v>1932</v>
      </c>
      <c r="G72" s="273"/>
      <c r="H72" s="183" t="s">
        <v>3</v>
      </c>
      <c r="I72" s="28" t="s">
        <v>90</v>
      </c>
      <c r="J72" s="189"/>
      <c r="K72" s="189"/>
      <c r="L72" s="189"/>
      <c r="M72" s="138" t="s">
        <v>1933</v>
      </c>
      <c r="N72" s="140"/>
      <c r="O72" s="140"/>
      <c r="P72" s="140"/>
    </row>
    <row r="73" spans="1:16">
      <c r="A73" s="221" t="s">
        <v>5</v>
      </c>
      <c r="B73" s="181" t="s">
        <v>2</v>
      </c>
      <c r="C73" s="182"/>
      <c r="D73" s="280" t="s">
        <v>122</v>
      </c>
      <c r="E73" s="281"/>
      <c r="F73" s="281"/>
      <c r="G73" s="282"/>
      <c r="H73" s="183" t="s">
        <v>3</v>
      </c>
      <c r="I73" s="28" t="s">
        <v>90</v>
      </c>
      <c r="M73" s="138" t="s">
        <v>653</v>
      </c>
      <c r="N73" s="140" t="str">
        <f t="shared" si="2"/>
        <v>Required feature.</v>
      </c>
      <c r="O73" s="140"/>
      <c r="P73" s="140"/>
    </row>
    <row r="74" spans="1:16">
      <c r="A74" s="221" t="s">
        <v>5</v>
      </c>
      <c r="B74" s="181" t="s">
        <v>2</v>
      </c>
      <c r="C74" s="182"/>
      <c r="D74" s="182"/>
      <c r="E74" s="279" t="s">
        <v>42</v>
      </c>
      <c r="F74" s="279"/>
      <c r="G74" s="279"/>
      <c r="H74" s="183" t="s">
        <v>3</v>
      </c>
      <c r="I74" s="28" t="s">
        <v>90</v>
      </c>
      <c r="M74" s="138" t="s">
        <v>654</v>
      </c>
      <c r="N74" s="140" t="str">
        <f t="shared" si="2"/>
        <v>Required feature.</v>
      </c>
      <c r="O74" s="140"/>
      <c r="P74" s="140"/>
    </row>
    <row r="75" spans="1:16">
      <c r="A75" s="221" t="s">
        <v>5</v>
      </c>
      <c r="B75" s="181" t="s">
        <v>2</v>
      </c>
      <c r="C75" s="182"/>
      <c r="D75" s="182"/>
      <c r="E75" s="279" t="s">
        <v>44</v>
      </c>
      <c r="F75" s="279"/>
      <c r="G75" s="279"/>
      <c r="H75" s="183" t="s">
        <v>4</v>
      </c>
      <c r="I75" s="28" t="s">
        <v>90</v>
      </c>
      <c r="M75" s="138" t="s">
        <v>255</v>
      </c>
      <c r="N75" s="140"/>
      <c r="O75" s="140"/>
      <c r="P75" s="140"/>
    </row>
    <row r="76" spans="1:16">
      <c r="A76" s="221" t="s">
        <v>5</v>
      </c>
      <c r="B76" s="181" t="s">
        <v>2</v>
      </c>
      <c r="C76" s="182"/>
      <c r="D76" s="182"/>
      <c r="E76" s="182"/>
      <c r="F76" s="279" t="s">
        <v>123</v>
      </c>
      <c r="G76" s="279"/>
      <c r="H76" s="183" t="s">
        <v>4</v>
      </c>
      <c r="I76" s="28" t="s">
        <v>90</v>
      </c>
      <c r="M76" s="138" t="s">
        <v>256</v>
      </c>
      <c r="N76" s="140"/>
      <c r="O76" s="140"/>
      <c r="P76" s="140"/>
    </row>
    <row r="77" spans="1:16">
      <c r="A77" s="221" t="s">
        <v>5</v>
      </c>
      <c r="B77" s="181" t="s">
        <v>2</v>
      </c>
      <c r="C77" s="182"/>
      <c r="D77" s="182"/>
      <c r="E77" s="279" t="s">
        <v>43</v>
      </c>
      <c r="F77" s="279"/>
      <c r="G77" s="279"/>
      <c r="H77" s="183" t="s">
        <v>4</v>
      </c>
      <c r="I77" s="28" t="s">
        <v>90</v>
      </c>
      <c r="M77" s="138" t="s">
        <v>257</v>
      </c>
      <c r="N77" s="140"/>
      <c r="O77" s="140"/>
      <c r="P77" s="140"/>
    </row>
    <row r="78" spans="1:16">
      <c r="A78" s="221" t="s">
        <v>5</v>
      </c>
      <c r="B78" s="181" t="s">
        <v>2</v>
      </c>
      <c r="C78" s="182"/>
      <c r="D78" s="182"/>
      <c r="E78" s="279" t="s">
        <v>45</v>
      </c>
      <c r="F78" s="279"/>
      <c r="G78" s="279"/>
      <c r="H78" s="183" t="s">
        <v>3</v>
      </c>
      <c r="I78" s="28" t="s">
        <v>90</v>
      </c>
      <c r="M78" s="138" t="s">
        <v>655</v>
      </c>
      <c r="N78" s="140" t="str">
        <f t="shared" si="2"/>
        <v>Required feature.</v>
      </c>
      <c r="O78" s="140"/>
      <c r="P78" s="140"/>
    </row>
    <row r="79" spans="1:16">
      <c r="A79" s="221" t="s">
        <v>5</v>
      </c>
      <c r="B79" s="181" t="s">
        <v>2</v>
      </c>
      <c r="C79" s="182"/>
      <c r="D79" s="182"/>
      <c r="E79" s="182"/>
      <c r="F79" s="272" t="s">
        <v>198</v>
      </c>
      <c r="G79" s="273"/>
      <c r="H79" s="183" t="s">
        <v>3</v>
      </c>
      <c r="I79" s="28" t="s">
        <v>90</v>
      </c>
      <c r="M79" s="138" t="s">
        <v>258</v>
      </c>
      <c r="N79" s="140" t="str">
        <f t="shared" si="2"/>
        <v>Required feature.</v>
      </c>
      <c r="O79" s="140"/>
      <c r="P79" s="140"/>
    </row>
    <row r="80" spans="1:16">
      <c r="A80" s="221" t="s">
        <v>5</v>
      </c>
      <c r="B80" s="181" t="s">
        <v>2</v>
      </c>
      <c r="C80" s="182"/>
      <c r="D80" s="182"/>
      <c r="E80" s="182"/>
      <c r="F80" s="272" t="s">
        <v>199</v>
      </c>
      <c r="G80" s="273"/>
      <c r="H80" s="183" t="s">
        <v>4</v>
      </c>
      <c r="I80" s="28" t="s">
        <v>90</v>
      </c>
      <c r="M80" s="138" t="s">
        <v>259</v>
      </c>
      <c r="N80" s="140"/>
      <c r="O80" s="140"/>
      <c r="P80" s="140"/>
    </row>
    <row r="81" spans="1:16">
      <c r="A81" s="221" t="s">
        <v>5</v>
      </c>
      <c r="B81" s="181" t="s">
        <v>2</v>
      </c>
      <c r="C81" s="182"/>
      <c r="D81" s="182"/>
      <c r="E81" s="182"/>
      <c r="F81" s="272" t="s">
        <v>200</v>
      </c>
      <c r="G81" s="273"/>
      <c r="H81" s="183" t="s">
        <v>4</v>
      </c>
      <c r="I81" s="28" t="s">
        <v>90</v>
      </c>
      <c r="M81" s="138" t="s">
        <v>260</v>
      </c>
      <c r="N81" s="140"/>
      <c r="O81" s="140"/>
      <c r="P81" s="140"/>
    </row>
    <row r="82" spans="1:16">
      <c r="A82" s="221" t="s">
        <v>5</v>
      </c>
      <c r="B82" s="181" t="s">
        <v>2</v>
      </c>
      <c r="C82" s="182"/>
      <c r="D82" s="182"/>
      <c r="E82" s="182"/>
      <c r="F82" s="272" t="s">
        <v>201</v>
      </c>
      <c r="G82" s="273"/>
      <c r="H82" s="183" t="s">
        <v>4</v>
      </c>
      <c r="I82" s="28" t="s">
        <v>90</v>
      </c>
      <c r="M82" s="138" t="s">
        <v>261</v>
      </c>
      <c r="N82" s="140"/>
      <c r="O82" s="140"/>
      <c r="P82" s="140"/>
    </row>
    <row r="83" spans="1:16">
      <c r="A83" s="221" t="s">
        <v>5</v>
      </c>
      <c r="B83" s="181" t="s">
        <v>2</v>
      </c>
      <c r="C83" s="182"/>
      <c r="D83" s="182"/>
      <c r="E83" s="182"/>
      <c r="F83" s="272" t="s">
        <v>554</v>
      </c>
      <c r="G83" s="273"/>
      <c r="H83" s="183" t="s">
        <v>3</v>
      </c>
      <c r="I83" s="28" t="s">
        <v>90</v>
      </c>
      <c r="M83" s="138" t="s">
        <v>731</v>
      </c>
      <c r="N83" s="140" t="str">
        <f t="shared" si="2"/>
        <v>Required feature.</v>
      </c>
      <c r="O83" s="140"/>
      <c r="P83" s="140"/>
    </row>
    <row r="84" spans="1:16">
      <c r="A84" s="221" t="s">
        <v>5</v>
      </c>
      <c r="B84" s="181" t="s">
        <v>2</v>
      </c>
      <c r="C84" s="182"/>
      <c r="D84" s="182"/>
      <c r="E84" s="182"/>
      <c r="F84" s="272" t="s">
        <v>1520</v>
      </c>
      <c r="G84" s="273"/>
      <c r="H84" s="183" t="s">
        <v>4</v>
      </c>
      <c r="I84" s="28" t="s">
        <v>90</v>
      </c>
      <c r="M84" s="138" t="s">
        <v>1521</v>
      </c>
      <c r="N84" s="140"/>
      <c r="O84" s="140"/>
      <c r="P84" s="140"/>
    </row>
    <row r="85" spans="1:16">
      <c r="A85" s="221" t="s">
        <v>5</v>
      </c>
      <c r="B85" s="181" t="s">
        <v>2</v>
      </c>
      <c r="C85" s="182"/>
      <c r="D85" s="182"/>
      <c r="E85" s="182"/>
      <c r="F85" s="279" t="s">
        <v>124</v>
      </c>
      <c r="G85" s="279"/>
      <c r="H85" s="183" t="s">
        <v>4</v>
      </c>
      <c r="I85" s="28" t="s">
        <v>90</v>
      </c>
      <c r="M85" s="138" t="s">
        <v>262</v>
      </c>
      <c r="N85" s="140"/>
      <c r="O85" s="140"/>
      <c r="P85" s="140"/>
    </row>
    <row r="86" spans="1:16">
      <c r="A86" s="221" t="s">
        <v>5</v>
      </c>
      <c r="B86" s="181" t="s">
        <v>2</v>
      </c>
      <c r="C86" s="182"/>
      <c r="D86" s="182"/>
      <c r="E86" s="182"/>
      <c r="F86" s="279" t="s">
        <v>125</v>
      </c>
      <c r="G86" s="279"/>
      <c r="H86" s="183" t="s">
        <v>4</v>
      </c>
      <c r="I86" s="28" t="s">
        <v>90</v>
      </c>
      <c r="M86" s="138" t="s">
        <v>263</v>
      </c>
      <c r="N86" s="140"/>
      <c r="O86" s="140"/>
      <c r="P86" s="140"/>
    </row>
    <row r="87" spans="1:16">
      <c r="A87" s="221" t="s">
        <v>5</v>
      </c>
      <c r="B87" s="181" t="s">
        <v>2</v>
      </c>
      <c r="C87" s="182"/>
      <c r="D87" s="182"/>
      <c r="E87" s="182"/>
      <c r="F87" s="182"/>
      <c r="G87" s="195" t="s">
        <v>711</v>
      </c>
      <c r="H87" s="183" t="s">
        <v>4</v>
      </c>
      <c r="I87" s="28" t="s">
        <v>90</v>
      </c>
      <c r="M87" s="138" t="s">
        <v>264</v>
      </c>
      <c r="N87" s="140"/>
      <c r="O87" s="140"/>
      <c r="P87" s="140"/>
    </row>
    <row r="88" spans="1:16">
      <c r="A88" s="221" t="s">
        <v>5</v>
      </c>
      <c r="B88" s="181" t="s">
        <v>2</v>
      </c>
      <c r="C88" s="182"/>
      <c r="D88" s="182"/>
      <c r="E88" s="279" t="s">
        <v>46</v>
      </c>
      <c r="F88" s="279"/>
      <c r="G88" s="279"/>
      <c r="H88" s="183" t="s">
        <v>4</v>
      </c>
      <c r="I88" s="28" t="s">
        <v>90</v>
      </c>
      <c r="M88" s="138" t="s">
        <v>265</v>
      </c>
      <c r="N88" s="140"/>
      <c r="O88" s="140"/>
      <c r="P88" s="140"/>
    </row>
    <row r="89" spans="1:16">
      <c r="A89" s="221" t="s">
        <v>5</v>
      </c>
      <c r="B89" s="181" t="s">
        <v>2</v>
      </c>
      <c r="C89" s="182"/>
      <c r="D89" s="182"/>
      <c r="E89" s="279" t="s">
        <v>126</v>
      </c>
      <c r="F89" s="279"/>
      <c r="G89" s="279"/>
      <c r="H89" s="183" t="s">
        <v>3</v>
      </c>
      <c r="I89" s="28" t="s">
        <v>90</v>
      </c>
      <c r="M89" s="138" t="s">
        <v>730</v>
      </c>
      <c r="N89" s="140" t="str">
        <f t="shared" si="2"/>
        <v>Required feature.</v>
      </c>
      <c r="O89" s="140"/>
      <c r="P89" s="140"/>
    </row>
    <row r="90" spans="1:16">
      <c r="A90" s="221" t="s">
        <v>5</v>
      </c>
      <c r="B90" s="181" t="s">
        <v>2</v>
      </c>
      <c r="C90" s="182"/>
      <c r="D90" s="182"/>
      <c r="E90" s="182"/>
      <c r="F90" s="279" t="s">
        <v>132</v>
      </c>
      <c r="G90" s="279"/>
      <c r="H90" s="183" t="s">
        <v>3</v>
      </c>
      <c r="I90" s="28" t="s">
        <v>90</v>
      </c>
      <c r="M90" s="138" t="s">
        <v>485</v>
      </c>
      <c r="N90" s="140" t="str">
        <f t="shared" si="2"/>
        <v>Required feature.</v>
      </c>
      <c r="O90" s="140"/>
      <c r="P90" s="140"/>
    </row>
    <row r="91" spans="1:16">
      <c r="A91" s="221" t="s">
        <v>5</v>
      </c>
      <c r="B91" s="181" t="s">
        <v>2</v>
      </c>
      <c r="C91" s="182"/>
      <c r="D91" s="182"/>
      <c r="E91" s="182"/>
      <c r="F91" s="182"/>
      <c r="G91" s="186" t="s">
        <v>128</v>
      </c>
      <c r="H91" s="183" t="s">
        <v>94</v>
      </c>
      <c r="I91" s="28" t="s">
        <v>90</v>
      </c>
      <c r="M91" s="138" t="s">
        <v>266</v>
      </c>
      <c r="N91" s="140"/>
      <c r="O91" s="140"/>
      <c r="P91" s="140"/>
    </row>
    <row r="92" spans="1:16">
      <c r="A92" s="221" t="s">
        <v>5</v>
      </c>
      <c r="B92" s="181" t="s">
        <v>2</v>
      </c>
      <c r="C92" s="182"/>
      <c r="D92" s="182"/>
      <c r="E92" s="182"/>
      <c r="F92" s="182"/>
      <c r="G92" s="186" t="s">
        <v>127</v>
      </c>
      <c r="H92" s="183" t="s">
        <v>94</v>
      </c>
      <c r="I92" s="28" t="s">
        <v>90</v>
      </c>
      <c r="M92" s="138" t="s">
        <v>267</v>
      </c>
      <c r="N92" s="140"/>
      <c r="O92" s="140"/>
      <c r="P92" s="140"/>
    </row>
    <row r="93" spans="1:16">
      <c r="A93" s="221" t="s">
        <v>5</v>
      </c>
      <c r="B93" s="181" t="s">
        <v>2</v>
      </c>
      <c r="C93" s="182"/>
      <c r="D93" s="182"/>
      <c r="E93" s="182"/>
      <c r="F93" s="279" t="s">
        <v>133</v>
      </c>
      <c r="G93" s="279"/>
      <c r="H93" s="183" t="s">
        <v>3</v>
      </c>
      <c r="I93" s="28" t="s">
        <v>90</v>
      </c>
      <c r="M93" s="138" t="s">
        <v>484</v>
      </c>
      <c r="N93" s="140" t="str">
        <f t="shared" si="2"/>
        <v>Required feature.</v>
      </c>
      <c r="O93" s="140"/>
      <c r="P93" s="140"/>
    </row>
    <row r="94" spans="1:16">
      <c r="A94" s="221" t="s">
        <v>5</v>
      </c>
      <c r="B94" s="181" t="s">
        <v>2</v>
      </c>
      <c r="C94" s="182"/>
      <c r="D94" s="182"/>
      <c r="E94" s="182"/>
      <c r="F94" s="182"/>
      <c r="G94" s="186" t="s">
        <v>130</v>
      </c>
      <c r="H94" s="183" t="s">
        <v>3</v>
      </c>
      <c r="I94" s="28" t="s">
        <v>90</v>
      </c>
      <c r="M94" s="138" t="s">
        <v>268</v>
      </c>
      <c r="N94" s="140" t="str">
        <f t="shared" si="2"/>
        <v>Required feature.</v>
      </c>
      <c r="O94" s="140" t="s">
        <v>2026</v>
      </c>
      <c r="P94" s="140" t="s">
        <v>93</v>
      </c>
    </row>
    <row r="95" spans="1:16" s="184" customFormat="1" ht="14" customHeight="1">
      <c r="A95" s="221" t="s">
        <v>5</v>
      </c>
      <c r="B95" s="181" t="s">
        <v>129</v>
      </c>
      <c r="C95" s="182"/>
      <c r="D95" s="182"/>
      <c r="E95" s="188"/>
      <c r="F95" s="188"/>
      <c r="G95" s="188" t="s">
        <v>1995</v>
      </c>
      <c r="H95" s="183" t="s">
        <v>4</v>
      </c>
      <c r="I95" s="28" t="s">
        <v>90</v>
      </c>
      <c r="M95" s="138" t="s">
        <v>1997</v>
      </c>
      <c r="N95" s="140"/>
      <c r="O95" s="140" t="s">
        <v>1996</v>
      </c>
      <c r="P95" s="140" t="s">
        <v>1948</v>
      </c>
    </row>
    <row r="96" spans="1:16" s="184" customFormat="1">
      <c r="A96" s="221" t="s">
        <v>5</v>
      </c>
      <c r="B96" s="181" t="s">
        <v>2</v>
      </c>
      <c r="C96" s="182"/>
      <c r="D96" s="182"/>
      <c r="E96" s="280" t="s">
        <v>50</v>
      </c>
      <c r="F96" s="281"/>
      <c r="G96" s="282"/>
      <c r="H96" s="183" t="s">
        <v>4</v>
      </c>
      <c r="I96" s="28" t="s">
        <v>90</v>
      </c>
      <c r="M96" s="138" t="s">
        <v>269</v>
      </c>
      <c r="N96" s="140"/>
      <c r="O96" s="140"/>
      <c r="P96" s="140"/>
    </row>
    <row r="97" spans="1:16">
      <c r="A97" s="221" t="s">
        <v>5</v>
      </c>
      <c r="B97" s="181" t="s">
        <v>2</v>
      </c>
      <c r="C97" s="182"/>
      <c r="D97" s="182"/>
      <c r="E97" s="182"/>
      <c r="F97" s="279" t="s">
        <v>131</v>
      </c>
      <c r="G97" s="279"/>
      <c r="H97" s="183" t="s">
        <v>4</v>
      </c>
      <c r="I97" s="28" t="s">
        <v>90</v>
      </c>
      <c r="M97" s="138" t="s">
        <v>270</v>
      </c>
      <c r="N97" s="140"/>
      <c r="O97" s="140"/>
      <c r="P97" s="140"/>
    </row>
    <row r="98" spans="1:16" s="184" customFormat="1">
      <c r="A98" s="221" t="s">
        <v>5</v>
      </c>
      <c r="B98" s="181" t="s">
        <v>2</v>
      </c>
      <c r="C98" s="182"/>
      <c r="D98" s="182"/>
      <c r="E98" s="182"/>
      <c r="F98" s="272" t="s">
        <v>1884</v>
      </c>
      <c r="G98" s="273"/>
      <c r="H98" s="183" t="s">
        <v>4</v>
      </c>
      <c r="I98" s="28" t="s">
        <v>90</v>
      </c>
      <c r="M98" s="138" t="s">
        <v>1885</v>
      </c>
      <c r="N98" s="140"/>
      <c r="O98" s="140"/>
      <c r="P98" s="140"/>
    </row>
    <row r="99" spans="1:16">
      <c r="A99" s="221" t="s">
        <v>5</v>
      </c>
      <c r="B99" s="181" t="s">
        <v>2</v>
      </c>
      <c r="C99" s="182"/>
      <c r="D99" s="182"/>
      <c r="E99" s="279" t="s">
        <v>194</v>
      </c>
      <c r="F99" s="279"/>
      <c r="G99" s="279"/>
      <c r="H99" s="183" t="s">
        <v>4</v>
      </c>
      <c r="I99" s="28" t="s">
        <v>90</v>
      </c>
      <c r="M99" s="138" t="s">
        <v>272</v>
      </c>
      <c r="N99" s="140"/>
      <c r="O99" s="140"/>
      <c r="P99" s="140"/>
    </row>
    <row r="100" spans="1:16">
      <c r="A100" s="221" t="s">
        <v>5</v>
      </c>
      <c r="B100" s="181" t="s">
        <v>2</v>
      </c>
      <c r="C100" s="182"/>
      <c r="D100" s="182"/>
      <c r="E100" s="182"/>
      <c r="F100" s="272" t="s">
        <v>68</v>
      </c>
      <c r="G100" s="273"/>
      <c r="H100" s="183" t="s">
        <v>71</v>
      </c>
      <c r="I100" s="28" t="s">
        <v>90</v>
      </c>
      <c r="M100" s="138" t="s">
        <v>273</v>
      </c>
      <c r="N100" s="140" t="str">
        <f>IF(AND(I99="Yes",I100&lt;&gt;"Yes"),"Required feature.","")</f>
        <v/>
      </c>
      <c r="O100" s="140"/>
      <c r="P100" s="140"/>
    </row>
    <row r="101" spans="1:16">
      <c r="A101" s="221" t="s">
        <v>5</v>
      </c>
      <c r="B101" s="181" t="s">
        <v>2</v>
      </c>
      <c r="C101" s="182"/>
      <c r="D101" s="182"/>
      <c r="E101" s="182"/>
      <c r="F101" s="272" t="s">
        <v>69</v>
      </c>
      <c r="G101" s="273"/>
      <c r="H101" s="183" t="s">
        <v>71</v>
      </c>
      <c r="I101" s="28" t="s">
        <v>90</v>
      </c>
      <c r="M101" s="138" t="s">
        <v>277</v>
      </c>
      <c r="N101" s="140" t="str">
        <f>IF(AND(I99="Yes",I101&lt;&gt;"Yes"),"Required feature.","")</f>
        <v/>
      </c>
      <c r="O101" s="140"/>
      <c r="P101" s="140"/>
    </row>
    <row r="102" spans="1:16">
      <c r="A102" s="221" t="s">
        <v>5</v>
      </c>
      <c r="B102" s="181" t="s">
        <v>2</v>
      </c>
      <c r="C102" s="182"/>
      <c r="D102" s="182"/>
      <c r="E102" s="182"/>
      <c r="F102" s="193"/>
      <c r="G102" s="194" t="s">
        <v>195</v>
      </c>
      <c r="H102" s="183" t="s">
        <v>94</v>
      </c>
      <c r="I102" s="28" t="s">
        <v>90</v>
      </c>
      <c r="M102" s="138" t="s">
        <v>274</v>
      </c>
      <c r="N102" s="140"/>
      <c r="O102" s="140"/>
      <c r="P102" s="140"/>
    </row>
    <row r="103" spans="1:16">
      <c r="A103" s="221" t="s">
        <v>5</v>
      </c>
      <c r="B103" s="181" t="s">
        <v>2</v>
      </c>
      <c r="C103" s="182"/>
      <c r="D103" s="182"/>
      <c r="E103" s="182"/>
      <c r="F103" s="193"/>
      <c r="G103" s="194" t="s">
        <v>196</v>
      </c>
      <c r="H103" s="183" t="s">
        <v>94</v>
      </c>
      <c r="I103" s="28" t="s">
        <v>90</v>
      </c>
      <c r="M103" s="138" t="s">
        <v>275</v>
      </c>
      <c r="N103" s="140"/>
      <c r="O103" s="140"/>
      <c r="P103" s="140"/>
    </row>
    <row r="104" spans="1:16">
      <c r="A104" s="221" t="s">
        <v>5</v>
      </c>
      <c r="B104" s="181" t="s">
        <v>2</v>
      </c>
      <c r="C104" s="182"/>
      <c r="D104" s="182"/>
      <c r="E104" s="182"/>
      <c r="F104" s="193"/>
      <c r="G104" s="194" t="s">
        <v>197</v>
      </c>
      <c r="H104" s="183" t="s">
        <v>94</v>
      </c>
      <c r="I104" s="28" t="s">
        <v>90</v>
      </c>
      <c r="M104" s="138" t="s">
        <v>276</v>
      </c>
      <c r="N104" s="140"/>
      <c r="O104" s="140"/>
      <c r="P104" s="140"/>
    </row>
    <row r="105" spans="1:16">
      <c r="A105" s="221" t="s">
        <v>5</v>
      </c>
      <c r="B105" s="181" t="s">
        <v>2</v>
      </c>
      <c r="C105" s="182"/>
      <c r="D105" s="182"/>
      <c r="E105" s="182"/>
      <c r="F105" s="193"/>
      <c r="G105" s="194" t="s">
        <v>72</v>
      </c>
      <c r="H105" s="183" t="s">
        <v>4</v>
      </c>
      <c r="I105" s="28" t="s">
        <v>90</v>
      </c>
      <c r="M105" s="138" t="s">
        <v>271</v>
      </c>
      <c r="N105" s="140"/>
      <c r="O105" s="140"/>
      <c r="P105" s="140"/>
    </row>
    <row r="106" spans="1:16">
      <c r="A106" s="221" t="s">
        <v>5</v>
      </c>
      <c r="B106" s="181" t="s">
        <v>2</v>
      </c>
      <c r="C106" s="182"/>
      <c r="D106" s="279" t="s">
        <v>495</v>
      </c>
      <c r="E106" s="279"/>
      <c r="F106" s="279"/>
      <c r="G106" s="279"/>
      <c r="H106" s="183" t="s">
        <v>3</v>
      </c>
      <c r="I106" s="28" t="s">
        <v>90</v>
      </c>
      <c r="M106" s="138" t="s">
        <v>279</v>
      </c>
      <c r="N106" s="140" t="str">
        <f t="shared" si="2"/>
        <v>Required feature.</v>
      </c>
      <c r="O106" s="140"/>
      <c r="P106" s="140"/>
    </row>
    <row r="107" spans="1:16">
      <c r="A107" s="221" t="s">
        <v>5</v>
      </c>
      <c r="B107" s="181" t="s">
        <v>2</v>
      </c>
      <c r="C107" s="182"/>
      <c r="D107" s="182"/>
      <c r="E107" s="272" t="s">
        <v>712</v>
      </c>
      <c r="F107" s="277"/>
      <c r="G107" s="273"/>
      <c r="H107" s="183" t="s">
        <v>3</v>
      </c>
      <c r="I107" s="28" t="s">
        <v>90</v>
      </c>
      <c r="M107" s="138" t="s">
        <v>719</v>
      </c>
      <c r="N107" s="140" t="str">
        <f t="shared" si="2"/>
        <v>Required feature.</v>
      </c>
      <c r="O107" s="140"/>
      <c r="P107" s="140"/>
    </row>
    <row r="108" spans="1:16">
      <c r="A108" s="221" t="s">
        <v>5</v>
      </c>
      <c r="B108" s="181" t="s">
        <v>2</v>
      </c>
      <c r="C108" s="182"/>
      <c r="D108" s="182"/>
      <c r="E108" s="182"/>
      <c r="F108" s="272" t="s">
        <v>713</v>
      </c>
      <c r="G108" s="273"/>
      <c r="H108" s="183" t="s">
        <v>91</v>
      </c>
      <c r="I108" s="28" t="s">
        <v>90</v>
      </c>
      <c r="M108" s="138" t="s">
        <v>717</v>
      </c>
      <c r="N108" s="140"/>
      <c r="O108" s="140"/>
      <c r="P108" s="140"/>
    </row>
    <row r="109" spans="1:16">
      <c r="A109" s="221" t="s">
        <v>5</v>
      </c>
      <c r="B109" s="181" t="s">
        <v>2</v>
      </c>
      <c r="C109" s="182"/>
      <c r="D109" s="182"/>
      <c r="E109" s="182"/>
      <c r="F109" s="195"/>
      <c r="G109" s="195" t="s">
        <v>714</v>
      </c>
      <c r="H109" s="183" t="s">
        <v>71</v>
      </c>
      <c r="I109" s="28" t="s">
        <v>90</v>
      </c>
      <c r="M109" s="138" t="s">
        <v>718</v>
      </c>
      <c r="N109" s="140" t="str">
        <f>IF(AND(I108="Yes",I109&lt;&gt;"Yes"),"Required feature.","")</f>
        <v/>
      </c>
      <c r="O109" s="140"/>
      <c r="P109" s="140"/>
    </row>
    <row r="110" spans="1:16">
      <c r="A110" s="221" t="s">
        <v>5</v>
      </c>
      <c r="B110" s="181" t="s">
        <v>2</v>
      </c>
      <c r="C110" s="182"/>
      <c r="D110" s="182"/>
      <c r="E110" s="182"/>
      <c r="F110" s="182" t="s">
        <v>424</v>
      </c>
      <c r="G110" s="182"/>
      <c r="H110" s="183" t="s">
        <v>91</v>
      </c>
      <c r="I110" s="28" t="s">
        <v>90</v>
      </c>
      <c r="M110" s="138" t="s">
        <v>426</v>
      </c>
      <c r="N110" s="140"/>
      <c r="O110" s="140"/>
      <c r="P110" s="140"/>
    </row>
    <row r="111" spans="1:16">
      <c r="A111" s="221" t="s">
        <v>5</v>
      </c>
      <c r="B111" s="181" t="s">
        <v>2</v>
      </c>
      <c r="C111" s="182"/>
      <c r="D111" s="182"/>
      <c r="E111" s="182"/>
      <c r="F111" s="223"/>
      <c r="G111" s="195" t="s">
        <v>714</v>
      </c>
      <c r="H111" s="183" t="s">
        <v>71</v>
      </c>
      <c r="I111" s="28" t="s">
        <v>90</v>
      </c>
      <c r="M111" s="138" t="s">
        <v>494</v>
      </c>
      <c r="N111" s="140" t="str">
        <f>IF(AND(I110="Yes",I111&lt;&gt;"Yes"),"Required feature.","")</f>
        <v/>
      </c>
      <c r="O111" s="140"/>
      <c r="P111" s="140"/>
    </row>
    <row r="112" spans="1:16">
      <c r="A112" s="221" t="s">
        <v>5</v>
      </c>
      <c r="B112" s="181" t="s">
        <v>2</v>
      </c>
      <c r="C112" s="182"/>
      <c r="D112" s="182"/>
      <c r="E112" s="188"/>
      <c r="F112" s="272" t="s">
        <v>425</v>
      </c>
      <c r="G112" s="273"/>
      <c r="H112" s="183" t="s">
        <v>91</v>
      </c>
      <c r="I112" s="28" t="s">
        <v>90</v>
      </c>
      <c r="M112" s="138" t="s">
        <v>427</v>
      </c>
      <c r="N112" s="140"/>
      <c r="O112" s="140"/>
      <c r="P112" s="140"/>
    </row>
    <row r="113" spans="1:16">
      <c r="A113" s="221" t="s">
        <v>5</v>
      </c>
      <c r="B113" s="181" t="s">
        <v>2</v>
      </c>
      <c r="C113" s="182"/>
      <c r="D113" s="182"/>
      <c r="E113" s="182"/>
      <c r="F113" s="223"/>
      <c r="G113" s="195" t="s">
        <v>714</v>
      </c>
      <c r="H113" s="183" t="s">
        <v>4</v>
      </c>
      <c r="I113" s="28" t="s">
        <v>90</v>
      </c>
      <c r="M113" s="138" t="s">
        <v>493</v>
      </c>
      <c r="N113" s="140"/>
      <c r="O113" s="140"/>
      <c r="P113" s="140"/>
    </row>
    <row r="114" spans="1:16">
      <c r="A114" s="221" t="s">
        <v>5</v>
      </c>
      <c r="B114" s="181" t="s">
        <v>2</v>
      </c>
      <c r="C114" s="182"/>
      <c r="D114" s="182"/>
      <c r="E114" s="272" t="s">
        <v>715</v>
      </c>
      <c r="F114" s="277"/>
      <c r="G114" s="273"/>
      <c r="H114" s="183" t="s">
        <v>3</v>
      </c>
      <c r="I114" s="28" t="s">
        <v>90</v>
      </c>
      <c r="M114" s="138" t="s">
        <v>720</v>
      </c>
      <c r="N114" s="140" t="str">
        <f t="shared" si="2"/>
        <v>Required feature.</v>
      </c>
      <c r="O114" s="140"/>
      <c r="P114" s="140"/>
    </row>
    <row r="115" spans="1:16">
      <c r="A115" s="221" t="s">
        <v>5</v>
      </c>
      <c r="B115" s="181" t="s">
        <v>2</v>
      </c>
      <c r="C115" s="182"/>
      <c r="D115" s="182"/>
      <c r="E115" s="224"/>
      <c r="F115" s="272" t="s">
        <v>716</v>
      </c>
      <c r="G115" s="273"/>
      <c r="H115" s="183" t="s">
        <v>4</v>
      </c>
      <c r="I115" s="28" t="s">
        <v>90</v>
      </c>
      <c r="M115" s="138" t="s">
        <v>278</v>
      </c>
      <c r="N115" s="140"/>
      <c r="O115" s="140"/>
      <c r="P115" s="140"/>
    </row>
    <row r="116" spans="1:16">
      <c r="A116" s="221" t="s">
        <v>5</v>
      </c>
      <c r="B116" s="181" t="s">
        <v>129</v>
      </c>
      <c r="C116" s="280" t="s">
        <v>9</v>
      </c>
      <c r="D116" s="281"/>
      <c r="E116" s="281"/>
      <c r="F116" s="281"/>
      <c r="G116" s="282"/>
      <c r="H116" s="183" t="s">
        <v>3</v>
      </c>
      <c r="I116" s="28" t="s">
        <v>90</v>
      </c>
      <c r="M116" s="138" t="s">
        <v>656</v>
      </c>
      <c r="N116" s="140" t="str">
        <f t="shared" si="2"/>
        <v>Required feature.</v>
      </c>
      <c r="O116" s="140"/>
      <c r="P116" s="140"/>
    </row>
    <row r="117" spans="1:16">
      <c r="A117" s="221" t="s">
        <v>5</v>
      </c>
      <c r="B117" s="181" t="s">
        <v>129</v>
      </c>
      <c r="C117" s="182"/>
      <c r="D117" s="280" t="s">
        <v>51</v>
      </c>
      <c r="E117" s="281"/>
      <c r="F117" s="281"/>
      <c r="G117" s="282"/>
      <c r="H117" s="183" t="s">
        <v>4</v>
      </c>
      <c r="I117" s="28" t="s">
        <v>90</v>
      </c>
      <c r="M117" s="138" t="s">
        <v>280</v>
      </c>
      <c r="N117" s="140"/>
      <c r="O117" s="140"/>
      <c r="P117" s="140"/>
    </row>
    <row r="118" spans="1:16" ht="14" customHeight="1">
      <c r="A118" s="221" t="s">
        <v>5</v>
      </c>
      <c r="B118" s="181" t="s">
        <v>129</v>
      </c>
      <c r="C118" s="182"/>
      <c r="D118" s="182"/>
      <c r="E118" s="285" t="s">
        <v>142</v>
      </c>
      <c r="F118" s="294"/>
      <c r="G118" s="286"/>
      <c r="H118" s="183" t="s">
        <v>4</v>
      </c>
      <c r="I118" s="28" t="s">
        <v>90</v>
      </c>
      <c r="M118" s="138" t="s">
        <v>281</v>
      </c>
      <c r="N118" s="140"/>
      <c r="O118" s="140"/>
      <c r="P118" s="140"/>
    </row>
    <row r="119" spans="1:16" ht="14" customHeight="1">
      <c r="A119" s="221" t="s">
        <v>5</v>
      </c>
      <c r="B119" s="181" t="s">
        <v>129</v>
      </c>
      <c r="C119" s="182"/>
      <c r="D119" s="182"/>
      <c r="E119" s="278" t="s">
        <v>143</v>
      </c>
      <c r="F119" s="278"/>
      <c r="G119" s="278"/>
      <c r="H119" s="183" t="s">
        <v>4</v>
      </c>
      <c r="I119" s="28" t="s">
        <v>90</v>
      </c>
      <c r="M119" s="138" t="s">
        <v>282</v>
      </c>
      <c r="N119" s="140"/>
      <c r="O119" s="140"/>
      <c r="P119" s="140"/>
    </row>
    <row r="120" spans="1:16" ht="14" customHeight="1">
      <c r="A120" s="221" t="s">
        <v>5</v>
      </c>
      <c r="B120" s="181" t="s">
        <v>129</v>
      </c>
      <c r="C120" s="182"/>
      <c r="D120" s="182"/>
      <c r="E120" s="278" t="s">
        <v>144</v>
      </c>
      <c r="F120" s="278"/>
      <c r="G120" s="278"/>
      <c r="H120" s="183" t="s">
        <v>71</v>
      </c>
      <c r="I120" s="28" t="s">
        <v>90</v>
      </c>
      <c r="M120" s="138" t="s">
        <v>283</v>
      </c>
      <c r="N120" s="140" t="str">
        <f>IF(AND(I117="Yes",I120&lt;&gt;"Yes"),"Required feature.","")</f>
        <v/>
      </c>
      <c r="O120" s="140"/>
      <c r="P120" s="140"/>
    </row>
    <row r="121" spans="1:16" s="184" customFormat="1" ht="14" customHeight="1">
      <c r="A121" s="221" t="s">
        <v>5</v>
      </c>
      <c r="B121" s="181" t="s">
        <v>129</v>
      </c>
      <c r="C121" s="182"/>
      <c r="D121" s="182"/>
      <c r="E121" s="279" t="s">
        <v>2011</v>
      </c>
      <c r="F121" s="279"/>
      <c r="G121" s="279"/>
      <c r="H121" s="183" t="s">
        <v>94</v>
      </c>
      <c r="I121" s="28" t="s">
        <v>90</v>
      </c>
      <c r="M121" s="138" t="s">
        <v>284</v>
      </c>
      <c r="N121" s="140" t="str">
        <f>IF(AND(I$117="Yes",I$121&lt;&gt;"Yes",I$122&lt;&gt;"Yes"),"Must support one of these","")</f>
        <v/>
      </c>
      <c r="O121" s="140" t="s">
        <v>2014</v>
      </c>
      <c r="P121" s="140" t="s">
        <v>1949</v>
      </c>
    </row>
    <row r="122" spans="1:16" s="184" customFormat="1" ht="14" customHeight="1">
      <c r="A122" s="221" t="s">
        <v>5</v>
      </c>
      <c r="B122" s="181" t="s">
        <v>129</v>
      </c>
      <c r="C122" s="182"/>
      <c r="D122" s="182"/>
      <c r="E122" s="279" t="s">
        <v>2012</v>
      </c>
      <c r="F122" s="279"/>
      <c r="G122" s="279"/>
      <c r="H122" s="183" t="s">
        <v>94</v>
      </c>
      <c r="I122" s="28" t="s">
        <v>90</v>
      </c>
      <c r="M122" s="138" t="s">
        <v>2013</v>
      </c>
      <c r="N122" s="140" t="str">
        <f>IF(AND(I$117="Yes",I$121&lt;&gt;"Yes",I$122&lt;&gt;"Yes"),"Must support one of these","")</f>
        <v/>
      </c>
      <c r="O122" s="140" t="s">
        <v>2014</v>
      </c>
      <c r="P122" s="140" t="s">
        <v>1949</v>
      </c>
    </row>
    <row r="123" spans="1:16" ht="14" customHeight="1">
      <c r="A123" s="221" t="s">
        <v>5</v>
      </c>
      <c r="B123" s="181" t="s">
        <v>129</v>
      </c>
      <c r="C123" s="182"/>
      <c r="D123" s="279" t="s">
        <v>52</v>
      </c>
      <c r="E123" s="279"/>
      <c r="F123" s="279"/>
      <c r="G123" s="279"/>
      <c r="H123" s="183" t="s">
        <v>3</v>
      </c>
      <c r="I123" s="28" t="s">
        <v>90</v>
      </c>
      <c r="M123" s="138" t="s">
        <v>657</v>
      </c>
      <c r="N123" s="140" t="str">
        <f t="shared" si="2"/>
        <v>Required feature.</v>
      </c>
      <c r="O123" s="140"/>
      <c r="P123" s="140"/>
    </row>
    <row r="124" spans="1:16" ht="14" customHeight="1">
      <c r="A124" s="221" t="s">
        <v>5</v>
      </c>
      <c r="B124" s="181" t="s">
        <v>129</v>
      </c>
      <c r="C124" s="182"/>
      <c r="D124" s="182"/>
      <c r="E124" s="278" t="s">
        <v>145</v>
      </c>
      <c r="F124" s="278"/>
      <c r="G124" s="278"/>
      <c r="H124" s="183" t="s">
        <v>4</v>
      </c>
      <c r="I124" s="28" t="s">
        <v>90</v>
      </c>
      <c r="M124" s="138" t="s">
        <v>285</v>
      </c>
      <c r="N124" s="140"/>
      <c r="O124" s="140"/>
      <c r="P124" s="140"/>
    </row>
    <row r="125" spans="1:16" ht="14" customHeight="1">
      <c r="A125" s="221" t="s">
        <v>5</v>
      </c>
      <c r="B125" s="181" t="s">
        <v>129</v>
      </c>
      <c r="C125" s="182"/>
      <c r="D125" s="182"/>
      <c r="E125" s="278" t="s">
        <v>146</v>
      </c>
      <c r="F125" s="278"/>
      <c r="G125" s="278"/>
      <c r="H125" s="183" t="s">
        <v>4</v>
      </c>
      <c r="I125" s="28" t="s">
        <v>90</v>
      </c>
      <c r="M125" s="138" t="s">
        <v>286</v>
      </c>
      <c r="N125" s="140"/>
      <c r="O125" s="140"/>
      <c r="P125" s="140"/>
    </row>
    <row r="126" spans="1:16" ht="14" customHeight="1">
      <c r="A126" s="221" t="s">
        <v>5</v>
      </c>
      <c r="B126" s="181" t="s">
        <v>129</v>
      </c>
      <c r="C126" s="182"/>
      <c r="D126" s="182"/>
      <c r="E126" s="278" t="s">
        <v>147</v>
      </c>
      <c r="F126" s="278"/>
      <c r="G126" s="278"/>
      <c r="H126" s="183" t="s">
        <v>3</v>
      </c>
      <c r="I126" s="28" t="s">
        <v>90</v>
      </c>
      <c r="M126" s="138" t="s">
        <v>658</v>
      </c>
      <c r="N126" s="140" t="str">
        <f t="shared" si="2"/>
        <v>Required feature.</v>
      </c>
      <c r="O126" s="140"/>
      <c r="P126" s="140"/>
    </row>
    <row r="127" spans="1:16" ht="14" customHeight="1">
      <c r="A127" s="221" t="s">
        <v>5</v>
      </c>
      <c r="B127" s="181" t="s">
        <v>129</v>
      </c>
      <c r="C127" s="182"/>
      <c r="D127" s="182"/>
      <c r="E127" s="279" t="s">
        <v>53</v>
      </c>
      <c r="F127" s="279"/>
      <c r="G127" s="279"/>
      <c r="H127" s="183" t="s">
        <v>3</v>
      </c>
      <c r="I127" s="28" t="s">
        <v>90</v>
      </c>
      <c r="M127" s="138" t="s">
        <v>287</v>
      </c>
      <c r="N127" s="140" t="str">
        <f t="shared" si="2"/>
        <v>Required feature.</v>
      </c>
      <c r="O127" s="140"/>
      <c r="P127" s="140"/>
    </row>
    <row r="128" spans="1:16" ht="14" customHeight="1">
      <c r="A128" s="221" t="s">
        <v>5</v>
      </c>
      <c r="B128" s="181" t="s">
        <v>129</v>
      </c>
      <c r="C128" s="182"/>
      <c r="D128" s="182"/>
      <c r="E128" s="279" t="s">
        <v>1593</v>
      </c>
      <c r="F128" s="279"/>
      <c r="G128" s="279"/>
      <c r="H128" s="183" t="s">
        <v>3</v>
      </c>
      <c r="I128" s="28" t="s">
        <v>90</v>
      </c>
      <c r="M128" s="138" t="s">
        <v>1594</v>
      </c>
      <c r="N128" s="140" t="str">
        <f>IF(I128&lt;&gt;"Yes","Required feature.","")</f>
        <v>Required feature.</v>
      </c>
      <c r="O128" s="140"/>
      <c r="P128" s="140"/>
    </row>
    <row r="129" spans="1:16">
      <c r="A129" s="221" t="s">
        <v>5</v>
      </c>
      <c r="B129" s="181" t="s">
        <v>129</v>
      </c>
      <c r="C129" s="182"/>
      <c r="D129" s="279" t="s">
        <v>54</v>
      </c>
      <c r="E129" s="279"/>
      <c r="F129" s="279"/>
      <c r="G129" s="279"/>
      <c r="H129" s="183" t="s">
        <v>4</v>
      </c>
      <c r="I129" s="28" t="s">
        <v>90</v>
      </c>
      <c r="M129" s="138" t="s">
        <v>288</v>
      </c>
      <c r="N129" s="140"/>
      <c r="O129" s="140"/>
      <c r="P129" s="140"/>
    </row>
    <row r="130" spans="1:16">
      <c r="A130" s="221" t="s">
        <v>5</v>
      </c>
      <c r="B130" s="181" t="s">
        <v>129</v>
      </c>
      <c r="C130" s="182"/>
      <c r="D130" s="279" t="s">
        <v>55</v>
      </c>
      <c r="E130" s="279"/>
      <c r="F130" s="279"/>
      <c r="G130" s="279"/>
      <c r="H130" s="183" t="s">
        <v>4</v>
      </c>
      <c r="I130" s="28" t="s">
        <v>90</v>
      </c>
      <c r="M130" s="138" t="s">
        <v>289</v>
      </c>
      <c r="N130" s="140"/>
      <c r="O130" s="140"/>
      <c r="P130" s="140"/>
    </row>
    <row r="131" spans="1:16">
      <c r="A131" s="221" t="s">
        <v>5</v>
      </c>
      <c r="B131" s="181" t="s">
        <v>6</v>
      </c>
      <c r="C131" s="279" t="s">
        <v>154</v>
      </c>
      <c r="D131" s="279"/>
      <c r="E131" s="279"/>
      <c r="F131" s="279"/>
      <c r="G131" s="279"/>
      <c r="H131" s="183" t="s">
        <v>3</v>
      </c>
      <c r="I131" s="28" t="s">
        <v>90</v>
      </c>
      <c r="M131" s="138" t="s">
        <v>659</v>
      </c>
      <c r="N131" s="140" t="str">
        <f t="shared" ref="N131:N176" si="3">IF(I131&lt;&gt;"Yes","Required feature.","")</f>
        <v>Required feature.</v>
      </c>
      <c r="O131" s="140"/>
      <c r="P131" s="140"/>
    </row>
    <row r="132" spans="1:16">
      <c r="A132" s="221" t="s">
        <v>5</v>
      </c>
      <c r="B132" s="181" t="s">
        <v>6</v>
      </c>
      <c r="C132" s="182"/>
      <c r="D132" s="279" t="s">
        <v>56</v>
      </c>
      <c r="E132" s="279"/>
      <c r="F132" s="279"/>
      <c r="G132" s="279"/>
      <c r="H132" s="183" t="s">
        <v>3</v>
      </c>
      <c r="I132" s="28" t="s">
        <v>90</v>
      </c>
      <c r="M132" s="138" t="s">
        <v>660</v>
      </c>
      <c r="N132" s="140" t="str">
        <f t="shared" si="3"/>
        <v>Required feature.</v>
      </c>
      <c r="O132" s="140"/>
      <c r="P132" s="140"/>
    </row>
    <row r="133" spans="1:16">
      <c r="A133" s="221" t="s">
        <v>5</v>
      </c>
      <c r="B133" s="181" t="s">
        <v>6</v>
      </c>
      <c r="C133" s="182"/>
      <c r="D133" s="182"/>
      <c r="E133" s="279" t="s">
        <v>151</v>
      </c>
      <c r="F133" s="279"/>
      <c r="G133" s="279"/>
      <c r="H133" s="183" t="s">
        <v>3</v>
      </c>
      <c r="I133" s="28" t="s">
        <v>90</v>
      </c>
      <c r="M133" s="138" t="s">
        <v>661</v>
      </c>
      <c r="N133" s="140" t="str">
        <f t="shared" si="3"/>
        <v>Required feature.</v>
      </c>
      <c r="O133" s="140"/>
      <c r="P133" s="140"/>
    </row>
    <row r="134" spans="1:16" ht="14" customHeight="1">
      <c r="A134" s="221" t="s">
        <v>5</v>
      </c>
      <c r="B134" s="181" t="s">
        <v>6</v>
      </c>
      <c r="C134" s="182"/>
      <c r="D134" s="182"/>
      <c r="E134" s="182"/>
      <c r="F134" s="278" t="s">
        <v>57</v>
      </c>
      <c r="G134" s="278"/>
      <c r="H134" s="183" t="s">
        <v>3</v>
      </c>
      <c r="I134" s="28" t="s">
        <v>90</v>
      </c>
      <c r="M134" s="138" t="s">
        <v>483</v>
      </c>
      <c r="N134" s="140" t="str">
        <f t="shared" si="3"/>
        <v>Required feature.</v>
      </c>
      <c r="O134" s="140"/>
      <c r="P134" s="140"/>
    </row>
    <row r="135" spans="1:16" ht="14" customHeight="1">
      <c r="A135" s="221" t="s">
        <v>5</v>
      </c>
      <c r="B135" s="181" t="s">
        <v>6</v>
      </c>
      <c r="C135" s="182"/>
      <c r="D135" s="182"/>
      <c r="E135" s="182"/>
      <c r="F135" s="278" t="s">
        <v>58</v>
      </c>
      <c r="G135" s="278"/>
      <c r="H135" s="183" t="s">
        <v>3</v>
      </c>
      <c r="I135" s="28" t="s">
        <v>90</v>
      </c>
      <c r="M135" s="138" t="s">
        <v>290</v>
      </c>
      <c r="N135" s="140"/>
      <c r="O135" s="140"/>
      <c r="P135" s="140" t="s">
        <v>93</v>
      </c>
    </row>
    <row r="136" spans="1:16" ht="14" customHeight="1">
      <c r="A136" s="221" t="s">
        <v>5</v>
      </c>
      <c r="B136" s="181" t="s">
        <v>6</v>
      </c>
      <c r="C136" s="182"/>
      <c r="D136" s="182"/>
      <c r="E136" s="182"/>
      <c r="F136" s="186"/>
      <c r="G136" s="186" t="s">
        <v>209</v>
      </c>
      <c r="H136" s="183" t="s">
        <v>3</v>
      </c>
      <c r="I136" s="28" t="s">
        <v>90</v>
      </c>
      <c r="M136" s="138" t="s">
        <v>291</v>
      </c>
      <c r="N136" s="140"/>
      <c r="O136" s="140"/>
      <c r="P136" s="140" t="s">
        <v>93</v>
      </c>
    </row>
    <row r="137" spans="1:16" ht="14" customHeight="1">
      <c r="A137" s="221" t="s">
        <v>5</v>
      </c>
      <c r="B137" s="181" t="s">
        <v>6</v>
      </c>
      <c r="C137" s="182"/>
      <c r="D137" s="182"/>
      <c r="E137" s="279" t="s">
        <v>152</v>
      </c>
      <c r="F137" s="279"/>
      <c r="G137" s="279"/>
      <c r="H137" s="183" t="s">
        <v>3</v>
      </c>
      <c r="I137" s="28" t="s">
        <v>90</v>
      </c>
      <c r="M137" s="138" t="s">
        <v>662</v>
      </c>
      <c r="N137" s="140" t="str">
        <f t="shared" si="3"/>
        <v>Required feature.</v>
      </c>
      <c r="O137" s="140"/>
      <c r="P137" s="140"/>
    </row>
    <row r="138" spans="1:16" ht="14" customHeight="1">
      <c r="A138" s="221" t="s">
        <v>5</v>
      </c>
      <c r="B138" s="181" t="s">
        <v>6</v>
      </c>
      <c r="C138" s="182"/>
      <c r="D138" s="182"/>
      <c r="E138" s="182"/>
      <c r="F138" s="278" t="s">
        <v>59</v>
      </c>
      <c r="G138" s="278"/>
      <c r="H138" s="183" t="s">
        <v>3</v>
      </c>
      <c r="I138" s="28" t="s">
        <v>90</v>
      </c>
      <c r="M138" s="138" t="s">
        <v>663</v>
      </c>
      <c r="N138" s="140" t="str">
        <f t="shared" si="3"/>
        <v>Required feature.</v>
      </c>
      <c r="O138" s="140"/>
      <c r="P138" s="140"/>
    </row>
    <row r="139" spans="1:16">
      <c r="A139" s="221" t="s">
        <v>5</v>
      </c>
      <c r="B139" s="181" t="s">
        <v>6</v>
      </c>
      <c r="C139" s="182"/>
      <c r="D139" s="182"/>
      <c r="E139" s="182"/>
      <c r="F139" s="186"/>
      <c r="G139" s="186" t="s">
        <v>210</v>
      </c>
      <c r="H139" s="183" t="s">
        <v>4</v>
      </c>
      <c r="I139" s="28" t="s">
        <v>90</v>
      </c>
      <c r="M139" s="138" t="s">
        <v>292</v>
      </c>
      <c r="N139" s="140"/>
      <c r="O139" s="140"/>
      <c r="P139" s="140" t="s">
        <v>93</v>
      </c>
    </row>
    <row r="140" spans="1:16" ht="14" customHeight="1">
      <c r="A140" s="221" t="s">
        <v>5</v>
      </c>
      <c r="B140" s="181" t="s">
        <v>6</v>
      </c>
      <c r="C140" s="182"/>
      <c r="D140" s="182"/>
      <c r="E140" s="182"/>
      <c r="F140" s="278" t="s">
        <v>60</v>
      </c>
      <c r="G140" s="278"/>
      <c r="H140" s="183" t="s">
        <v>3</v>
      </c>
      <c r="I140" s="28" t="s">
        <v>90</v>
      </c>
      <c r="M140" s="138" t="s">
        <v>664</v>
      </c>
      <c r="N140" s="140" t="str">
        <f t="shared" si="3"/>
        <v>Required feature.</v>
      </c>
      <c r="O140" s="140"/>
      <c r="P140" s="140"/>
    </row>
    <row r="141" spans="1:16" ht="14" customHeight="1">
      <c r="A141" s="221" t="s">
        <v>5</v>
      </c>
      <c r="B141" s="181" t="s">
        <v>6</v>
      </c>
      <c r="C141" s="182"/>
      <c r="D141" s="182"/>
      <c r="E141" s="182"/>
      <c r="F141" s="278" t="s">
        <v>61</v>
      </c>
      <c r="G141" s="278"/>
      <c r="H141" s="183" t="s">
        <v>3</v>
      </c>
      <c r="I141" s="28" t="s">
        <v>90</v>
      </c>
      <c r="M141" s="138" t="s">
        <v>665</v>
      </c>
      <c r="N141" s="140" t="str">
        <f t="shared" si="3"/>
        <v>Required feature.</v>
      </c>
      <c r="O141" s="140"/>
      <c r="P141" s="140"/>
    </row>
    <row r="142" spans="1:16" ht="14" customHeight="1">
      <c r="A142" s="221" t="s">
        <v>5</v>
      </c>
      <c r="B142" s="181" t="s">
        <v>6</v>
      </c>
      <c r="C142" s="182"/>
      <c r="D142" s="182"/>
      <c r="E142" s="182"/>
      <c r="F142" s="278" t="s">
        <v>62</v>
      </c>
      <c r="G142" s="278"/>
      <c r="H142" s="183" t="s">
        <v>3</v>
      </c>
      <c r="I142" s="28" t="s">
        <v>90</v>
      </c>
      <c r="M142" s="138" t="s">
        <v>666</v>
      </c>
      <c r="N142" s="140" t="str">
        <f t="shared" si="3"/>
        <v>Required feature.</v>
      </c>
      <c r="O142" s="140"/>
      <c r="P142" s="140"/>
    </row>
    <row r="143" spans="1:16" ht="14" customHeight="1">
      <c r="A143" s="221" t="s">
        <v>5</v>
      </c>
      <c r="B143" s="181" t="s">
        <v>6</v>
      </c>
      <c r="C143" s="182"/>
      <c r="D143" s="182"/>
      <c r="E143" s="182"/>
      <c r="F143" s="278" t="s">
        <v>148</v>
      </c>
      <c r="G143" s="278"/>
      <c r="H143" s="183" t="s">
        <v>3</v>
      </c>
      <c r="I143" s="28" t="s">
        <v>90</v>
      </c>
      <c r="M143" s="138" t="s">
        <v>667</v>
      </c>
      <c r="N143" s="140" t="str">
        <f t="shared" si="3"/>
        <v>Required feature.</v>
      </c>
      <c r="O143" s="140"/>
      <c r="P143" s="140"/>
    </row>
    <row r="144" spans="1:16" ht="14" customHeight="1">
      <c r="A144" s="221" t="s">
        <v>5</v>
      </c>
      <c r="B144" s="181" t="s">
        <v>6</v>
      </c>
      <c r="C144" s="182"/>
      <c r="D144" s="182"/>
      <c r="E144" s="182"/>
      <c r="F144" s="278" t="s">
        <v>149</v>
      </c>
      <c r="G144" s="278"/>
      <c r="H144" s="183" t="s">
        <v>3</v>
      </c>
      <c r="I144" s="28" t="s">
        <v>90</v>
      </c>
      <c r="M144" s="138" t="s">
        <v>668</v>
      </c>
      <c r="N144" s="140" t="str">
        <f t="shared" si="3"/>
        <v>Required feature.</v>
      </c>
      <c r="O144" s="140"/>
      <c r="P144" s="140"/>
    </row>
    <row r="145" spans="1:16" ht="14" customHeight="1">
      <c r="A145" s="221" t="s">
        <v>5</v>
      </c>
      <c r="B145" s="181" t="s">
        <v>6</v>
      </c>
      <c r="C145" s="182"/>
      <c r="D145" s="182"/>
      <c r="E145" s="182"/>
      <c r="F145" s="278" t="s">
        <v>150</v>
      </c>
      <c r="G145" s="278"/>
      <c r="H145" s="183" t="s">
        <v>3</v>
      </c>
      <c r="I145" s="28" t="s">
        <v>90</v>
      </c>
      <c r="M145" s="138" t="s">
        <v>669</v>
      </c>
      <c r="N145" s="140" t="str">
        <f t="shared" si="3"/>
        <v>Required feature.</v>
      </c>
      <c r="O145" s="140"/>
      <c r="P145" s="140"/>
    </row>
    <row r="146" spans="1:16" ht="14" customHeight="1">
      <c r="A146" s="221" t="s">
        <v>5</v>
      </c>
      <c r="B146" s="181" t="s">
        <v>6</v>
      </c>
      <c r="C146" s="182"/>
      <c r="D146" s="182"/>
      <c r="E146" s="182"/>
      <c r="F146" s="186"/>
      <c r="G146" s="186" t="s">
        <v>210</v>
      </c>
      <c r="H146" s="183" t="s">
        <v>3</v>
      </c>
      <c r="I146" s="28" t="s">
        <v>90</v>
      </c>
      <c r="M146" s="138" t="s">
        <v>293</v>
      </c>
      <c r="N146" s="140"/>
      <c r="O146" s="140"/>
      <c r="P146" s="140" t="s">
        <v>93</v>
      </c>
    </row>
    <row r="147" spans="1:16" ht="14" customHeight="1">
      <c r="A147" s="221" t="s">
        <v>5</v>
      </c>
      <c r="B147" s="181" t="s">
        <v>6</v>
      </c>
      <c r="C147" s="182"/>
      <c r="D147" s="279" t="s">
        <v>63</v>
      </c>
      <c r="E147" s="279"/>
      <c r="F147" s="279"/>
      <c r="G147" s="279"/>
      <c r="H147" s="183" t="s">
        <v>3</v>
      </c>
      <c r="I147" s="28" t="s">
        <v>90</v>
      </c>
      <c r="M147" s="138" t="s">
        <v>670</v>
      </c>
      <c r="N147" s="140" t="str">
        <f t="shared" si="3"/>
        <v>Required feature.</v>
      </c>
      <c r="O147" s="140"/>
      <c r="P147" s="140"/>
    </row>
    <row r="148" spans="1:16">
      <c r="A148" s="221" t="s">
        <v>5</v>
      </c>
      <c r="B148" s="181" t="s">
        <v>6</v>
      </c>
      <c r="C148" s="182"/>
      <c r="D148" s="182"/>
      <c r="E148" s="279" t="s">
        <v>151</v>
      </c>
      <c r="F148" s="279"/>
      <c r="G148" s="279"/>
      <c r="H148" s="183" t="s">
        <v>3</v>
      </c>
      <c r="I148" s="28" t="s">
        <v>90</v>
      </c>
      <c r="M148" s="138" t="s">
        <v>671</v>
      </c>
      <c r="N148" s="140" t="str">
        <f t="shared" si="3"/>
        <v>Required feature.</v>
      </c>
      <c r="O148" s="140"/>
      <c r="P148" s="140"/>
    </row>
    <row r="149" spans="1:16" ht="14" customHeight="1">
      <c r="A149" s="221" t="s">
        <v>5</v>
      </c>
      <c r="B149" s="181" t="s">
        <v>6</v>
      </c>
      <c r="C149" s="182"/>
      <c r="D149" s="182"/>
      <c r="E149" s="182"/>
      <c r="F149" s="278" t="s">
        <v>64</v>
      </c>
      <c r="G149" s="278"/>
      <c r="H149" s="183" t="s">
        <v>3</v>
      </c>
      <c r="I149" s="28" t="s">
        <v>90</v>
      </c>
      <c r="M149" s="138" t="s">
        <v>482</v>
      </c>
      <c r="N149" s="140" t="str">
        <f t="shared" si="3"/>
        <v>Required feature.</v>
      </c>
      <c r="O149" s="140"/>
      <c r="P149" s="140"/>
    </row>
    <row r="150" spans="1:16">
      <c r="A150" s="221" t="s">
        <v>5</v>
      </c>
      <c r="B150" s="181" t="s">
        <v>6</v>
      </c>
      <c r="C150" s="182"/>
      <c r="D150" s="182"/>
      <c r="E150" s="279" t="s">
        <v>152</v>
      </c>
      <c r="F150" s="279"/>
      <c r="G150" s="279"/>
      <c r="H150" s="183" t="s">
        <v>3</v>
      </c>
      <c r="I150" s="28" t="s">
        <v>90</v>
      </c>
      <c r="M150" s="138" t="s">
        <v>672</v>
      </c>
      <c r="N150" s="140" t="str">
        <f t="shared" si="3"/>
        <v>Required feature.</v>
      </c>
      <c r="O150" s="140"/>
      <c r="P150" s="140"/>
    </row>
    <row r="151" spans="1:16" ht="14" customHeight="1">
      <c r="A151" s="221" t="s">
        <v>5</v>
      </c>
      <c r="B151" s="181" t="s">
        <v>6</v>
      </c>
      <c r="C151" s="182"/>
      <c r="D151" s="182"/>
      <c r="E151" s="182"/>
      <c r="F151" s="278" t="s">
        <v>65</v>
      </c>
      <c r="G151" s="278"/>
      <c r="H151" s="183" t="s">
        <v>3</v>
      </c>
      <c r="I151" s="28" t="s">
        <v>90</v>
      </c>
      <c r="M151" s="138" t="s">
        <v>673</v>
      </c>
      <c r="N151" s="140" t="str">
        <f t="shared" si="3"/>
        <v>Required feature.</v>
      </c>
      <c r="O151" s="140"/>
      <c r="P151" s="140"/>
    </row>
    <row r="152" spans="1:16" ht="14" customHeight="1">
      <c r="A152" s="221" t="s">
        <v>5</v>
      </c>
      <c r="B152" s="181" t="s">
        <v>6</v>
      </c>
      <c r="C152" s="182"/>
      <c r="D152" s="182"/>
      <c r="E152" s="182"/>
      <c r="F152" s="278" t="s">
        <v>66</v>
      </c>
      <c r="G152" s="278"/>
      <c r="H152" s="183" t="s">
        <v>3</v>
      </c>
      <c r="I152" s="28" t="s">
        <v>90</v>
      </c>
      <c r="M152" s="138" t="s">
        <v>674</v>
      </c>
      <c r="N152" s="140" t="str">
        <f t="shared" si="3"/>
        <v>Required feature.</v>
      </c>
      <c r="O152" s="140"/>
      <c r="P152" s="140"/>
    </row>
    <row r="153" spans="1:16" ht="14" customHeight="1">
      <c r="A153" s="221" t="s">
        <v>5</v>
      </c>
      <c r="B153" s="181" t="s">
        <v>6</v>
      </c>
      <c r="C153" s="182"/>
      <c r="D153" s="182"/>
      <c r="E153" s="182"/>
      <c r="F153" s="278" t="s">
        <v>67</v>
      </c>
      <c r="G153" s="278"/>
      <c r="H153" s="183" t="s">
        <v>3</v>
      </c>
      <c r="I153" s="28" t="s">
        <v>90</v>
      </c>
      <c r="M153" s="138" t="s">
        <v>675</v>
      </c>
      <c r="N153" s="140" t="str">
        <f t="shared" si="3"/>
        <v>Required feature.</v>
      </c>
      <c r="O153" s="140"/>
      <c r="P153" s="140"/>
    </row>
    <row r="154" spans="1:16" ht="14" customHeight="1">
      <c r="A154" s="221" t="s">
        <v>5</v>
      </c>
      <c r="B154" s="181" t="s">
        <v>6</v>
      </c>
      <c r="C154" s="182"/>
      <c r="D154" s="280" t="s">
        <v>155</v>
      </c>
      <c r="E154" s="281"/>
      <c r="F154" s="281"/>
      <c r="G154" s="282"/>
      <c r="H154" s="183" t="s">
        <v>4</v>
      </c>
      <c r="I154" s="28" t="s">
        <v>90</v>
      </c>
      <c r="M154" s="138" t="s">
        <v>294</v>
      </c>
      <c r="N154" s="140"/>
      <c r="O154" s="140"/>
      <c r="P154" s="140"/>
    </row>
    <row r="155" spans="1:16" ht="14" customHeight="1">
      <c r="A155" s="221" t="s">
        <v>5</v>
      </c>
      <c r="B155" s="181" t="s">
        <v>6</v>
      </c>
      <c r="C155" s="182"/>
      <c r="D155" s="188"/>
      <c r="E155" s="290" t="s">
        <v>211</v>
      </c>
      <c r="F155" s="290"/>
      <c r="G155" s="290"/>
      <c r="H155" s="183" t="s">
        <v>71</v>
      </c>
      <c r="I155" s="28" t="s">
        <v>90</v>
      </c>
      <c r="M155" s="138" t="s">
        <v>295</v>
      </c>
      <c r="N155" s="140" t="str">
        <f t="shared" ref="N155:N160" si="4">IF(AND(I$154="Yes",I155&lt;&gt;"Yes"),"Required feature.","")</f>
        <v/>
      </c>
      <c r="O155" s="140"/>
      <c r="P155" s="140"/>
    </row>
    <row r="156" spans="1:16">
      <c r="A156" s="221" t="s">
        <v>5</v>
      </c>
      <c r="B156" s="181" t="s">
        <v>6</v>
      </c>
      <c r="C156" s="182"/>
      <c r="D156" s="182"/>
      <c r="E156" s="280" t="s">
        <v>151</v>
      </c>
      <c r="F156" s="281"/>
      <c r="G156" s="282"/>
      <c r="H156" s="183" t="s">
        <v>71</v>
      </c>
      <c r="I156" s="28" t="s">
        <v>90</v>
      </c>
      <c r="M156" s="138" t="s">
        <v>296</v>
      </c>
      <c r="N156" s="140" t="str">
        <f t="shared" si="4"/>
        <v/>
      </c>
      <c r="O156" s="140"/>
      <c r="P156" s="140"/>
    </row>
    <row r="157" spans="1:16" ht="14" customHeight="1">
      <c r="A157" s="221" t="s">
        <v>5</v>
      </c>
      <c r="B157" s="181" t="s">
        <v>6</v>
      </c>
      <c r="C157" s="182"/>
      <c r="D157" s="182"/>
      <c r="E157" s="182"/>
      <c r="F157" s="285" t="s">
        <v>297</v>
      </c>
      <c r="G157" s="286"/>
      <c r="H157" s="183" t="s">
        <v>71</v>
      </c>
      <c r="I157" s="28" t="s">
        <v>90</v>
      </c>
      <c r="M157" s="138" t="s">
        <v>298</v>
      </c>
      <c r="N157" s="140" t="str">
        <f t="shared" si="4"/>
        <v/>
      </c>
      <c r="O157" s="140"/>
      <c r="P157" s="140"/>
    </row>
    <row r="158" spans="1:16">
      <c r="A158" s="221" t="s">
        <v>5</v>
      </c>
      <c r="B158" s="181" t="s">
        <v>6</v>
      </c>
      <c r="C158" s="182"/>
      <c r="D158" s="182"/>
      <c r="E158" s="280" t="s">
        <v>152</v>
      </c>
      <c r="F158" s="281"/>
      <c r="G158" s="282"/>
      <c r="H158" s="183" t="s">
        <v>71</v>
      </c>
      <c r="I158" s="28" t="s">
        <v>90</v>
      </c>
      <c r="M158" s="138" t="s">
        <v>299</v>
      </c>
      <c r="N158" s="140" t="str">
        <f t="shared" si="4"/>
        <v/>
      </c>
      <c r="O158" s="140"/>
      <c r="P158" s="140"/>
    </row>
    <row r="159" spans="1:16" ht="14" customHeight="1">
      <c r="A159" s="221" t="s">
        <v>5</v>
      </c>
      <c r="B159" s="181" t="s">
        <v>6</v>
      </c>
      <c r="C159" s="182"/>
      <c r="D159" s="182"/>
      <c r="E159" s="182"/>
      <c r="F159" s="285" t="s">
        <v>157</v>
      </c>
      <c r="G159" s="286"/>
      <c r="H159" s="183" t="s">
        <v>71</v>
      </c>
      <c r="I159" s="28" t="s">
        <v>90</v>
      </c>
      <c r="M159" s="138" t="s">
        <v>300</v>
      </c>
      <c r="N159" s="140" t="str">
        <f t="shared" si="4"/>
        <v/>
      </c>
      <c r="O159" s="140"/>
      <c r="P159" s="140"/>
    </row>
    <row r="160" spans="1:16">
      <c r="A160" s="221" t="s">
        <v>5</v>
      </c>
      <c r="B160" s="181" t="s">
        <v>6</v>
      </c>
      <c r="C160" s="182"/>
      <c r="D160" s="182"/>
      <c r="E160" s="182"/>
      <c r="F160" s="187"/>
      <c r="G160" s="186" t="s">
        <v>710</v>
      </c>
      <c r="H160" s="183" t="s">
        <v>71</v>
      </c>
      <c r="I160" s="28" t="s">
        <v>90</v>
      </c>
      <c r="M160" s="138" t="s">
        <v>676</v>
      </c>
      <c r="N160" s="140" t="str">
        <f t="shared" si="4"/>
        <v/>
      </c>
      <c r="O160" s="140"/>
      <c r="P160" s="140"/>
    </row>
    <row r="161" spans="1:16" ht="14" customHeight="1">
      <c r="A161" s="221" t="s">
        <v>5</v>
      </c>
      <c r="B161" s="181" t="s">
        <v>6</v>
      </c>
      <c r="C161" s="182"/>
      <c r="D161" s="182"/>
      <c r="E161" s="182"/>
      <c r="F161" s="187"/>
      <c r="G161" s="186" t="s">
        <v>159</v>
      </c>
      <c r="H161" s="183" t="s">
        <v>71</v>
      </c>
      <c r="I161" s="28" t="s">
        <v>90</v>
      </c>
      <c r="M161" s="138" t="s">
        <v>301</v>
      </c>
      <c r="N161" s="140"/>
      <c r="O161" s="140"/>
      <c r="P161" s="140"/>
    </row>
    <row r="162" spans="1:16" s="184" customFormat="1" ht="14" customHeight="1">
      <c r="A162" s="221" t="s">
        <v>5</v>
      </c>
      <c r="B162" s="181" t="s">
        <v>6</v>
      </c>
      <c r="C162" s="182"/>
      <c r="D162" s="182"/>
      <c r="E162" s="182"/>
      <c r="F162" s="186"/>
      <c r="G162" s="186" t="s">
        <v>210</v>
      </c>
      <c r="H162" s="183" t="s">
        <v>4</v>
      </c>
      <c r="I162" s="28" t="s">
        <v>90</v>
      </c>
      <c r="M162" s="138" t="s">
        <v>1958</v>
      </c>
      <c r="N162" s="140"/>
      <c r="O162" s="140"/>
      <c r="P162" s="140" t="s">
        <v>1948</v>
      </c>
    </row>
    <row r="163" spans="1:16" ht="14" customHeight="1">
      <c r="A163" s="221" t="s">
        <v>5</v>
      </c>
      <c r="B163" s="181" t="s">
        <v>6</v>
      </c>
      <c r="C163" s="182"/>
      <c r="D163" s="182"/>
      <c r="E163" s="182"/>
      <c r="F163" s="285" t="s">
        <v>158</v>
      </c>
      <c r="G163" s="286"/>
      <c r="H163" s="183" t="s">
        <v>71</v>
      </c>
      <c r="I163" s="28" t="s">
        <v>90</v>
      </c>
      <c r="M163" s="138" t="s">
        <v>302</v>
      </c>
      <c r="N163" s="140" t="str">
        <f>IF(AND(I$154="Yes",I163&lt;&gt;"Yes"),"Required feature.","")</f>
        <v/>
      </c>
      <c r="O163" s="140"/>
      <c r="P163" s="140"/>
    </row>
    <row r="164" spans="1:16" ht="14" customHeight="1">
      <c r="A164" s="221" t="s">
        <v>5</v>
      </c>
      <c r="B164" s="181" t="s">
        <v>6</v>
      </c>
      <c r="C164" s="182"/>
      <c r="D164" s="182"/>
      <c r="E164" s="182"/>
      <c r="F164" s="285" t="s">
        <v>156</v>
      </c>
      <c r="G164" s="286"/>
      <c r="H164" s="183" t="s">
        <v>71</v>
      </c>
      <c r="I164" s="28" t="s">
        <v>90</v>
      </c>
      <c r="M164" s="138" t="s">
        <v>303</v>
      </c>
      <c r="N164" s="140" t="str">
        <f>IF(AND(I$154="Yes",I164&lt;&gt;"Yes"),"Required feature.","")</f>
        <v/>
      </c>
      <c r="O164" s="140"/>
      <c r="P164" s="140"/>
    </row>
    <row r="165" spans="1:16" ht="14" customHeight="1">
      <c r="A165" s="221" t="s">
        <v>5</v>
      </c>
      <c r="B165" s="181" t="s">
        <v>6</v>
      </c>
      <c r="C165" s="182"/>
      <c r="D165" s="182"/>
      <c r="E165" s="182"/>
      <c r="F165" s="285" t="s">
        <v>159</v>
      </c>
      <c r="G165" s="286"/>
      <c r="H165" s="183" t="s">
        <v>71</v>
      </c>
      <c r="I165" s="28" t="s">
        <v>90</v>
      </c>
      <c r="M165" s="138" t="s">
        <v>304</v>
      </c>
      <c r="N165" s="140" t="str">
        <f>IF(AND(I$154="Yes",I165&lt;&gt;"Yes"),"Required feature.","")</f>
        <v/>
      </c>
      <c r="O165" s="140"/>
      <c r="P165" s="140"/>
    </row>
    <row r="166" spans="1:16" ht="14" customHeight="1">
      <c r="A166" s="221" t="s">
        <v>5</v>
      </c>
      <c r="B166" s="181" t="s">
        <v>6</v>
      </c>
      <c r="C166" s="182"/>
      <c r="D166" s="279" t="s">
        <v>153</v>
      </c>
      <c r="E166" s="279"/>
      <c r="F166" s="279"/>
      <c r="G166" s="279"/>
      <c r="H166" s="183" t="s">
        <v>3</v>
      </c>
      <c r="I166" s="28" t="s">
        <v>90</v>
      </c>
      <c r="M166" s="138" t="s">
        <v>677</v>
      </c>
      <c r="N166" s="140" t="str">
        <f t="shared" si="3"/>
        <v>Required feature.</v>
      </c>
      <c r="O166" s="140"/>
      <c r="P166" s="140"/>
    </row>
    <row r="167" spans="1:16" ht="14" customHeight="1">
      <c r="A167" s="221" t="s">
        <v>5</v>
      </c>
      <c r="B167" s="181" t="s">
        <v>6</v>
      </c>
      <c r="C167" s="182"/>
      <c r="D167" s="182"/>
      <c r="E167" s="279" t="s">
        <v>163</v>
      </c>
      <c r="F167" s="279"/>
      <c r="G167" s="279"/>
      <c r="H167" s="183" t="s">
        <v>4</v>
      </c>
      <c r="I167" s="28" t="s">
        <v>90</v>
      </c>
      <c r="M167" s="138" t="s">
        <v>305</v>
      </c>
      <c r="N167" s="140"/>
      <c r="O167" s="140"/>
      <c r="P167" s="140"/>
    </row>
    <row r="168" spans="1:16">
      <c r="A168" s="221" t="s">
        <v>5</v>
      </c>
      <c r="B168" s="181" t="s">
        <v>6</v>
      </c>
      <c r="C168" s="182"/>
      <c r="D168" s="182"/>
      <c r="E168" s="279" t="s">
        <v>39</v>
      </c>
      <c r="F168" s="279"/>
      <c r="G168" s="279"/>
      <c r="H168" s="183" t="s">
        <v>4</v>
      </c>
      <c r="I168" s="28" t="s">
        <v>90</v>
      </c>
      <c r="M168" s="138" t="s">
        <v>306</v>
      </c>
      <c r="N168" s="140"/>
      <c r="O168" s="140"/>
      <c r="P168" s="140"/>
    </row>
    <row r="169" spans="1:16" ht="14" customHeight="1">
      <c r="A169" s="221" t="s">
        <v>5</v>
      </c>
      <c r="B169" s="181" t="s">
        <v>6</v>
      </c>
      <c r="C169" s="182"/>
      <c r="D169" s="182"/>
      <c r="E169" s="291" t="s">
        <v>210</v>
      </c>
      <c r="F169" s="292"/>
      <c r="G169" s="293"/>
      <c r="H169" s="183" t="s">
        <v>3</v>
      </c>
      <c r="I169" s="28" t="s">
        <v>90</v>
      </c>
      <c r="M169" s="138" t="s">
        <v>307</v>
      </c>
      <c r="N169" s="140"/>
      <c r="O169" s="140"/>
      <c r="P169" s="140" t="s">
        <v>1948</v>
      </c>
    </row>
    <row r="170" spans="1:16">
      <c r="A170" s="221" t="s">
        <v>5</v>
      </c>
      <c r="B170" s="181" t="s">
        <v>7</v>
      </c>
      <c r="C170" s="280" t="s">
        <v>8</v>
      </c>
      <c r="D170" s="281"/>
      <c r="E170" s="281"/>
      <c r="F170" s="281"/>
      <c r="G170" s="282"/>
      <c r="H170" s="183" t="s">
        <v>3</v>
      </c>
      <c r="I170" s="28" t="s">
        <v>90</v>
      </c>
      <c r="M170" s="138" t="s">
        <v>543</v>
      </c>
      <c r="N170" s="140" t="str">
        <f t="shared" si="3"/>
        <v>Required feature.</v>
      </c>
      <c r="O170" s="140"/>
      <c r="P170" s="140"/>
    </row>
    <row r="171" spans="1:16" ht="14" customHeight="1">
      <c r="A171" s="225" t="s">
        <v>5</v>
      </c>
      <c r="B171" s="226" t="s">
        <v>7</v>
      </c>
      <c r="C171" s="227"/>
      <c r="D171" s="287" t="s">
        <v>160</v>
      </c>
      <c r="E171" s="288"/>
      <c r="F171" s="288"/>
      <c r="G171" s="289"/>
      <c r="H171" s="228" t="s">
        <v>4</v>
      </c>
      <c r="I171" s="28" t="s">
        <v>90</v>
      </c>
      <c r="J171" s="229"/>
      <c r="K171" s="229"/>
      <c r="L171" s="229"/>
      <c r="M171" s="138" t="s">
        <v>308</v>
      </c>
      <c r="N171" s="140"/>
      <c r="O171" s="140"/>
      <c r="P171" s="140"/>
    </row>
    <row r="172" spans="1:16">
      <c r="A172" s="225" t="s">
        <v>5</v>
      </c>
      <c r="B172" s="226" t="s">
        <v>7</v>
      </c>
      <c r="C172" s="227"/>
      <c r="D172" s="287" t="s">
        <v>161</v>
      </c>
      <c r="E172" s="288"/>
      <c r="F172" s="288"/>
      <c r="G172" s="289"/>
      <c r="H172" s="183" t="s">
        <v>3</v>
      </c>
      <c r="I172" s="28" t="s">
        <v>90</v>
      </c>
      <c r="J172" s="229"/>
      <c r="K172" s="229"/>
      <c r="L172" s="229"/>
      <c r="M172" s="138" t="s">
        <v>309</v>
      </c>
      <c r="N172" s="140"/>
      <c r="O172" s="140"/>
      <c r="P172" s="140" t="s">
        <v>93</v>
      </c>
    </row>
    <row r="173" spans="1:16">
      <c r="A173" s="225" t="s">
        <v>5</v>
      </c>
      <c r="B173" s="226" t="s">
        <v>7</v>
      </c>
      <c r="C173" s="227"/>
      <c r="D173" s="287" t="s">
        <v>52</v>
      </c>
      <c r="E173" s="288"/>
      <c r="F173" s="288"/>
      <c r="G173" s="289"/>
      <c r="H173" s="228" t="s">
        <v>4</v>
      </c>
      <c r="I173" s="28" t="s">
        <v>90</v>
      </c>
      <c r="J173" s="229"/>
      <c r="K173" s="229"/>
      <c r="L173" s="229"/>
      <c r="M173" s="138" t="s">
        <v>310</v>
      </c>
      <c r="N173" s="140"/>
      <c r="O173" s="140"/>
      <c r="P173" s="140"/>
    </row>
    <row r="174" spans="1:16">
      <c r="A174" s="225" t="s">
        <v>5</v>
      </c>
      <c r="B174" s="226" t="s">
        <v>7</v>
      </c>
      <c r="C174" s="227"/>
      <c r="D174" s="287" t="s">
        <v>51</v>
      </c>
      <c r="E174" s="288"/>
      <c r="F174" s="288"/>
      <c r="G174" s="289"/>
      <c r="H174" s="228" t="s">
        <v>4</v>
      </c>
      <c r="I174" s="28" t="s">
        <v>90</v>
      </c>
      <c r="J174" s="229"/>
      <c r="K174" s="229"/>
      <c r="L174" s="229"/>
      <c r="M174" s="138" t="s">
        <v>311</v>
      </c>
      <c r="N174" s="140"/>
      <c r="O174" s="140"/>
      <c r="P174" s="140"/>
    </row>
    <row r="175" spans="1:16">
      <c r="A175" s="225" t="s">
        <v>5</v>
      </c>
      <c r="B175" s="226" t="s">
        <v>7</v>
      </c>
      <c r="C175" s="227"/>
      <c r="D175" s="287" t="s">
        <v>162</v>
      </c>
      <c r="E175" s="288"/>
      <c r="F175" s="288"/>
      <c r="G175" s="289"/>
      <c r="H175" s="228" t="s">
        <v>4</v>
      </c>
      <c r="I175" s="28" t="s">
        <v>90</v>
      </c>
      <c r="J175" s="229"/>
      <c r="K175" s="229"/>
      <c r="L175" s="229"/>
      <c r="M175" s="138" t="s">
        <v>312</v>
      </c>
      <c r="N175" s="140"/>
      <c r="O175" s="140"/>
      <c r="P175" s="140"/>
    </row>
    <row r="176" spans="1:16">
      <c r="A176" s="225" t="s">
        <v>5</v>
      </c>
      <c r="B176" s="226" t="s">
        <v>7</v>
      </c>
      <c r="C176" s="227"/>
      <c r="D176" s="287" t="s">
        <v>203</v>
      </c>
      <c r="E176" s="288"/>
      <c r="F176" s="288"/>
      <c r="G176" s="289"/>
      <c r="H176" s="228" t="s">
        <v>3</v>
      </c>
      <c r="I176" s="28" t="s">
        <v>90</v>
      </c>
      <c r="J176" s="229"/>
      <c r="K176" s="229"/>
      <c r="L176" s="229"/>
      <c r="M176" s="138" t="s">
        <v>678</v>
      </c>
      <c r="N176" s="140" t="str">
        <f t="shared" si="3"/>
        <v>Required feature.</v>
      </c>
      <c r="O176" s="140"/>
      <c r="P176" s="140"/>
    </row>
    <row r="177" spans="1:16">
      <c r="A177" s="221" t="s">
        <v>5</v>
      </c>
      <c r="B177" s="181" t="s">
        <v>164</v>
      </c>
      <c r="C177" s="188" t="s">
        <v>506</v>
      </c>
      <c r="D177" s="191"/>
      <c r="E177" s="191"/>
      <c r="F177" s="191"/>
      <c r="G177" s="192"/>
      <c r="H177" s="183" t="s">
        <v>4</v>
      </c>
      <c r="I177" s="28" t="s">
        <v>90</v>
      </c>
      <c r="M177" s="138" t="s">
        <v>544</v>
      </c>
      <c r="N177" s="140"/>
      <c r="O177" s="140"/>
      <c r="P177" s="140"/>
    </row>
    <row r="178" spans="1:16">
      <c r="A178" s="221" t="s">
        <v>5</v>
      </c>
      <c r="B178" s="181" t="s">
        <v>164</v>
      </c>
      <c r="C178" s="188"/>
      <c r="D178" s="188" t="s">
        <v>165</v>
      </c>
      <c r="E178" s="191"/>
      <c r="F178" s="191"/>
      <c r="G178" s="191"/>
      <c r="H178" s="183" t="s">
        <v>94</v>
      </c>
      <c r="I178" s="28" t="s">
        <v>90</v>
      </c>
      <c r="M178" s="138" t="s">
        <v>450</v>
      </c>
      <c r="N178" s="140" t="str">
        <f>IF(AND(I$177="Yes",I$178&lt;&gt;"Yes",$I208&lt;&gt;"Yes"),"Required Feature","")</f>
        <v/>
      </c>
      <c r="O178" s="140"/>
      <c r="P178" s="140"/>
    </row>
    <row r="179" spans="1:16" s="230" customFormat="1">
      <c r="A179" s="221" t="s">
        <v>5</v>
      </c>
      <c r="B179" s="181" t="s">
        <v>164</v>
      </c>
      <c r="C179" s="182"/>
      <c r="D179" s="182"/>
      <c r="E179" s="272" t="s">
        <v>167</v>
      </c>
      <c r="F179" s="277"/>
      <c r="G179" s="273"/>
      <c r="H179" s="183" t="s">
        <v>71</v>
      </c>
      <c r="I179" s="28" t="s">
        <v>90</v>
      </c>
      <c r="M179" s="138" t="s">
        <v>451</v>
      </c>
      <c r="N179" s="140" t="str">
        <f>IF(AND(I$178="Yes",I179&lt;&gt;"Yes"),"Required feature.","")</f>
        <v/>
      </c>
      <c r="O179" s="140"/>
      <c r="P179" s="140"/>
    </row>
    <row r="180" spans="1:16">
      <c r="A180" s="221" t="s">
        <v>5</v>
      </c>
      <c r="B180" s="181" t="s">
        <v>164</v>
      </c>
      <c r="C180" s="182"/>
      <c r="D180" s="182"/>
      <c r="E180" s="272" t="s">
        <v>166</v>
      </c>
      <c r="F180" s="277"/>
      <c r="G180" s="273"/>
      <c r="H180" s="183" t="s">
        <v>71</v>
      </c>
      <c r="I180" s="28" t="s">
        <v>90</v>
      </c>
      <c r="M180" s="138" t="s">
        <v>452</v>
      </c>
      <c r="N180" s="140" t="str">
        <f t="shared" ref="N180:N187" si="5">IF(AND(I$178="Yes",I180&lt;&gt;"Yes"),"Required feature.","")</f>
        <v/>
      </c>
      <c r="O180" s="140"/>
      <c r="P180" s="140"/>
    </row>
    <row r="181" spans="1:16">
      <c r="A181" s="221" t="s">
        <v>5</v>
      </c>
      <c r="B181" s="181" t="s">
        <v>164</v>
      </c>
      <c r="C181" s="182"/>
      <c r="D181" s="182"/>
      <c r="E181" s="272" t="s">
        <v>168</v>
      </c>
      <c r="F181" s="277"/>
      <c r="G181" s="273"/>
      <c r="H181" s="183" t="s">
        <v>71</v>
      </c>
      <c r="I181" s="28" t="s">
        <v>90</v>
      </c>
      <c r="M181" s="138" t="s">
        <v>453</v>
      </c>
      <c r="N181" s="140" t="str">
        <f t="shared" si="5"/>
        <v/>
      </c>
      <c r="O181" s="140"/>
      <c r="P181" s="140"/>
    </row>
    <row r="182" spans="1:16">
      <c r="A182" s="221" t="s">
        <v>5</v>
      </c>
      <c r="B182" s="181" t="s">
        <v>164</v>
      </c>
      <c r="C182" s="182"/>
      <c r="D182" s="182"/>
      <c r="E182" s="272" t="s">
        <v>169</v>
      </c>
      <c r="F182" s="277"/>
      <c r="G182" s="273"/>
      <c r="H182" s="183" t="s">
        <v>71</v>
      </c>
      <c r="I182" s="28" t="s">
        <v>90</v>
      </c>
      <c r="M182" s="138" t="s">
        <v>454</v>
      </c>
      <c r="N182" s="140" t="str">
        <f t="shared" si="5"/>
        <v/>
      </c>
      <c r="O182" s="140"/>
      <c r="P182" s="140"/>
    </row>
    <row r="183" spans="1:16">
      <c r="A183" s="221" t="s">
        <v>5</v>
      </c>
      <c r="B183" s="181" t="s">
        <v>164</v>
      </c>
      <c r="C183" s="182"/>
      <c r="D183" s="182"/>
      <c r="E183" s="272" t="s">
        <v>170</v>
      </c>
      <c r="F183" s="277"/>
      <c r="G183" s="273"/>
      <c r="H183" s="183" t="s">
        <v>71</v>
      </c>
      <c r="I183" s="28" t="s">
        <v>90</v>
      </c>
      <c r="M183" s="138" t="s">
        <v>455</v>
      </c>
      <c r="N183" s="140" t="str">
        <f t="shared" si="5"/>
        <v/>
      </c>
      <c r="O183" s="140"/>
      <c r="P183" s="140"/>
    </row>
    <row r="184" spans="1:16">
      <c r="A184" s="221" t="s">
        <v>5</v>
      </c>
      <c r="B184" s="181" t="s">
        <v>164</v>
      </c>
      <c r="C184" s="182"/>
      <c r="D184" s="182"/>
      <c r="E184" s="272" t="s">
        <v>171</v>
      </c>
      <c r="F184" s="277"/>
      <c r="G184" s="273"/>
      <c r="H184" s="183" t="s">
        <v>71</v>
      </c>
      <c r="I184" s="28" t="s">
        <v>90</v>
      </c>
      <c r="M184" s="138" t="s">
        <v>456</v>
      </c>
      <c r="N184" s="140" t="str">
        <f t="shared" si="5"/>
        <v/>
      </c>
      <c r="O184" s="140"/>
      <c r="P184" s="140"/>
    </row>
    <row r="185" spans="1:16">
      <c r="A185" s="221" t="s">
        <v>5</v>
      </c>
      <c r="B185" s="181" t="s">
        <v>164</v>
      </c>
      <c r="C185" s="182"/>
      <c r="D185" s="182"/>
      <c r="E185" s="272" t="s">
        <v>172</v>
      </c>
      <c r="F185" s="277"/>
      <c r="G185" s="273"/>
      <c r="H185" s="183" t="s">
        <v>71</v>
      </c>
      <c r="I185" s="28" t="s">
        <v>90</v>
      </c>
      <c r="M185" s="138" t="s">
        <v>457</v>
      </c>
      <c r="N185" s="140" t="str">
        <f t="shared" si="5"/>
        <v/>
      </c>
      <c r="O185" s="140"/>
      <c r="P185" s="140"/>
    </row>
    <row r="186" spans="1:16">
      <c r="A186" s="221" t="s">
        <v>5</v>
      </c>
      <c r="B186" s="181" t="s">
        <v>164</v>
      </c>
      <c r="C186" s="182"/>
      <c r="D186" s="182"/>
      <c r="E186" s="272" t="s">
        <v>173</v>
      </c>
      <c r="F186" s="277"/>
      <c r="G186" s="273"/>
      <c r="H186" s="183" t="s">
        <v>71</v>
      </c>
      <c r="I186" s="28" t="s">
        <v>90</v>
      </c>
      <c r="M186" s="138" t="s">
        <v>458</v>
      </c>
      <c r="N186" s="140" t="str">
        <f t="shared" si="5"/>
        <v/>
      </c>
      <c r="O186" s="140"/>
      <c r="P186" s="140"/>
    </row>
    <row r="187" spans="1:16">
      <c r="A187" s="221" t="s">
        <v>5</v>
      </c>
      <c r="B187" s="181" t="s">
        <v>164</v>
      </c>
      <c r="C187" s="182"/>
      <c r="D187" s="182"/>
      <c r="E187" s="272" t="s">
        <v>174</v>
      </c>
      <c r="F187" s="277"/>
      <c r="G187" s="273"/>
      <c r="H187" s="183" t="s">
        <v>71</v>
      </c>
      <c r="I187" s="28" t="s">
        <v>90</v>
      </c>
      <c r="M187" s="138" t="s">
        <v>459</v>
      </c>
      <c r="N187" s="140" t="str">
        <f t="shared" si="5"/>
        <v/>
      </c>
      <c r="O187" s="140"/>
      <c r="P187" s="140"/>
    </row>
    <row r="188" spans="1:16">
      <c r="A188" s="221" t="s">
        <v>5</v>
      </c>
      <c r="B188" s="181" t="s">
        <v>176</v>
      </c>
      <c r="C188" s="182"/>
      <c r="D188" s="182"/>
      <c r="E188" s="272" t="s">
        <v>496</v>
      </c>
      <c r="F188" s="277"/>
      <c r="G188" s="273"/>
      <c r="H188" s="183" t="s">
        <v>4</v>
      </c>
      <c r="I188" s="28" t="s">
        <v>90</v>
      </c>
      <c r="M188" s="138" t="s">
        <v>679</v>
      </c>
      <c r="N188" s="140" t="str">
        <f>IF(AND(I188="Yes",I178&lt;&gt;"Yes"),"Must support CDB Source to support SBP Source.","")</f>
        <v/>
      </c>
      <c r="O188" s="140"/>
      <c r="P188" s="140"/>
    </row>
    <row r="189" spans="1:16">
      <c r="A189" s="221" t="s">
        <v>5</v>
      </c>
      <c r="B189" s="181" t="s">
        <v>176</v>
      </c>
      <c r="C189" s="182"/>
      <c r="D189" s="182"/>
      <c r="E189" s="182"/>
      <c r="F189" s="272" t="s">
        <v>177</v>
      </c>
      <c r="G189" s="273"/>
      <c r="H189" s="183" t="s">
        <v>71</v>
      </c>
      <c r="I189" s="28" t="s">
        <v>90</v>
      </c>
      <c r="M189" s="138" t="s">
        <v>680</v>
      </c>
      <c r="N189" s="140" t="str">
        <f>IF(AND(I$188="Yes",I189&lt;&gt;"Yes"),"Required feature.","")</f>
        <v/>
      </c>
      <c r="O189" s="140"/>
      <c r="P189" s="140"/>
    </row>
    <row r="190" spans="1:16">
      <c r="A190" s="221" t="s">
        <v>5</v>
      </c>
      <c r="B190" s="181" t="s">
        <v>176</v>
      </c>
      <c r="C190" s="182"/>
      <c r="D190" s="182"/>
      <c r="E190" s="182"/>
      <c r="F190" s="272" t="s">
        <v>178</v>
      </c>
      <c r="G190" s="273"/>
      <c r="H190" s="183" t="s">
        <v>71</v>
      </c>
      <c r="I190" s="28" t="s">
        <v>90</v>
      </c>
      <c r="M190" s="138" t="s">
        <v>681</v>
      </c>
      <c r="N190" s="140" t="str">
        <f t="shared" ref="N190:N197" si="6">IF(AND(I$188="Yes",I190&lt;&gt;"Yes"),"Required feature.","")</f>
        <v/>
      </c>
      <c r="O190" s="140"/>
      <c r="P190" s="140"/>
    </row>
    <row r="191" spans="1:16">
      <c r="A191" s="221" t="s">
        <v>5</v>
      </c>
      <c r="B191" s="181" t="s">
        <v>176</v>
      </c>
      <c r="C191" s="182"/>
      <c r="D191" s="182"/>
      <c r="E191" s="182"/>
      <c r="F191" s="272" t="s">
        <v>179</v>
      </c>
      <c r="G191" s="273"/>
      <c r="H191" s="183" t="s">
        <v>71</v>
      </c>
      <c r="I191" s="28" t="s">
        <v>90</v>
      </c>
      <c r="M191" s="138" t="s">
        <v>682</v>
      </c>
      <c r="N191" s="140" t="str">
        <f t="shared" si="6"/>
        <v/>
      </c>
      <c r="O191" s="140"/>
      <c r="P191" s="140"/>
    </row>
    <row r="192" spans="1:16">
      <c r="A192" s="221" t="s">
        <v>5</v>
      </c>
      <c r="B192" s="181" t="s">
        <v>176</v>
      </c>
      <c r="C192" s="182"/>
      <c r="D192" s="182"/>
      <c r="E192" s="182"/>
      <c r="F192" s="272" t="s">
        <v>180</v>
      </c>
      <c r="G192" s="273"/>
      <c r="H192" s="183" t="s">
        <v>71</v>
      </c>
      <c r="I192" s="28" t="s">
        <v>90</v>
      </c>
      <c r="M192" s="138" t="s">
        <v>683</v>
      </c>
      <c r="N192" s="140" t="str">
        <f t="shared" si="6"/>
        <v/>
      </c>
      <c r="O192" s="140"/>
      <c r="P192" s="140"/>
    </row>
    <row r="193" spans="1:16">
      <c r="A193" s="221" t="s">
        <v>5</v>
      </c>
      <c r="B193" s="181" t="s">
        <v>176</v>
      </c>
      <c r="C193" s="182"/>
      <c r="D193" s="182"/>
      <c r="E193" s="182"/>
      <c r="F193" s="272" t="s">
        <v>181</v>
      </c>
      <c r="G193" s="273"/>
      <c r="H193" s="183" t="s">
        <v>71</v>
      </c>
      <c r="I193" s="28" t="s">
        <v>90</v>
      </c>
      <c r="M193" s="138" t="s">
        <v>684</v>
      </c>
      <c r="N193" s="140" t="str">
        <f t="shared" si="6"/>
        <v/>
      </c>
      <c r="O193" s="140"/>
      <c r="P193" s="140"/>
    </row>
    <row r="194" spans="1:16">
      <c r="A194" s="221" t="s">
        <v>5</v>
      </c>
      <c r="B194" s="181" t="s">
        <v>176</v>
      </c>
      <c r="C194" s="182"/>
      <c r="D194" s="182"/>
      <c r="E194" s="182"/>
      <c r="F194" s="272" t="s">
        <v>182</v>
      </c>
      <c r="G194" s="273"/>
      <c r="H194" s="183" t="s">
        <v>71</v>
      </c>
      <c r="I194" s="28" t="s">
        <v>90</v>
      </c>
      <c r="M194" s="138" t="s">
        <v>685</v>
      </c>
      <c r="N194" s="140" t="str">
        <f t="shared" si="6"/>
        <v/>
      </c>
      <c r="O194" s="140"/>
      <c r="P194" s="140"/>
    </row>
    <row r="195" spans="1:16">
      <c r="A195" s="221" t="s">
        <v>5</v>
      </c>
      <c r="B195" s="181" t="s">
        <v>176</v>
      </c>
      <c r="C195" s="182"/>
      <c r="D195" s="182"/>
      <c r="E195" s="182"/>
      <c r="F195" s="272" t="s">
        <v>183</v>
      </c>
      <c r="G195" s="273"/>
      <c r="H195" s="183" t="s">
        <v>71</v>
      </c>
      <c r="I195" s="28" t="s">
        <v>90</v>
      </c>
      <c r="M195" s="138" t="s">
        <v>686</v>
      </c>
      <c r="N195" s="140" t="str">
        <f t="shared" si="6"/>
        <v/>
      </c>
      <c r="O195" s="140"/>
      <c r="P195" s="140"/>
    </row>
    <row r="196" spans="1:16">
      <c r="A196" s="221" t="s">
        <v>5</v>
      </c>
      <c r="B196" s="181" t="s">
        <v>176</v>
      </c>
      <c r="C196" s="182"/>
      <c r="D196" s="182"/>
      <c r="E196" s="182"/>
      <c r="F196" s="272" t="s">
        <v>184</v>
      </c>
      <c r="G196" s="273"/>
      <c r="H196" s="183" t="s">
        <v>71</v>
      </c>
      <c r="I196" s="28" t="s">
        <v>90</v>
      </c>
      <c r="M196" s="138" t="s">
        <v>687</v>
      </c>
      <c r="N196" s="140" t="str">
        <f t="shared" si="6"/>
        <v/>
      </c>
      <c r="O196" s="140"/>
      <c r="P196" s="140"/>
    </row>
    <row r="197" spans="1:16">
      <c r="A197" s="221" t="s">
        <v>5</v>
      </c>
      <c r="B197" s="181" t="s">
        <v>176</v>
      </c>
      <c r="C197" s="182"/>
      <c r="D197" s="182"/>
      <c r="E197" s="182"/>
      <c r="F197" s="272" t="s">
        <v>185</v>
      </c>
      <c r="G197" s="273"/>
      <c r="H197" s="183" t="s">
        <v>71</v>
      </c>
      <c r="I197" s="28" t="s">
        <v>90</v>
      </c>
      <c r="M197" s="138" t="s">
        <v>688</v>
      </c>
      <c r="N197" s="140" t="str">
        <f t="shared" si="6"/>
        <v/>
      </c>
      <c r="O197" s="140"/>
      <c r="P197" s="140"/>
    </row>
    <row r="198" spans="1:16">
      <c r="A198" s="221" t="s">
        <v>5</v>
      </c>
      <c r="B198" s="181" t="s">
        <v>176</v>
      </c>
      <c r="C198" s="188"/>
      <c r="D198" s="188"/>
      <c r="E198" s="272" t="s">
        <v>497</v>
      </c>
      <c r="F198" s="277"/>
      <c r="G198" s="273"/>
      <c r="H198" s="183" t="s">
        <v>4</v>
      </c>
      <c r="I198" s="28" t="s">
        <v>90</v>
      </c>
      <c r="M198" s="138" t="s">
        <v>689</v>
      </c>
      <c r="N198" s="140"/>
      <c r="O198" s="140"/>
      <c r="P198" s="140"/>
    </row>
    <row r="199" spans="1:16">
      <c r="A199" s="221" t="s">
        <v>5</v>
      </c>
      <c r="B199" s="181" t="s">
        <v>176</v>
      </c>
      <c r="C199" s="182"/>
      <c r="D199" s="182"/>
      <c r="E199" s="195"/>
      <c r="F199" s="272" t="s">
        <v>186</v>
      </c>
      <c r="G199" s="273"/>
      <c r="H199" s="183" t="s">
        <v>4</v>
      </c>
      <c r="I199" s="28" t="s">
        <v>90</v>
      </c>
      <c r="M199" s="138" t="s">
        <v>690</v>
      </c>
      <c r="N199" s="140" t="str">
        <f>IF(AND(I199="Yes",I188&lt;&gt;"Yes"),"Must support SBP Source to support GPS Source.","")</f>
        <v/>
      </c>
      <c r="O199" s="140"/>
      <c r="P199" s="140"/>
    </row>
    <row r="200" spans="1:16" s="231" customFormat="1">
      <c r="A200" s="221" t="s">
        <v>5</v>
      </c>
      <c r="B200" s="181" t="s">
        <v>176</v>
      </c>
      <c r="C200" s="182"/>
      <c r="D200" s="182"/>
      <c r="E200" s="195"/>
      <c r="F200" s="193"/>
      <c r="G200" s="195" t="s">
        <v>177</v>
      </c>
      <c r="H200" s="183" t="s">
        <v>71</v>
      </c>
      <c r="I200" s="28" t="s">
        <v>90</v>
      </c>
      <c r="J200" s="143"/>
      <c r="K200" s="143"/>
      <c r="L200" s="143"/>
      <c r="M200" s="138" t="s">
        <v>1379</v>
      </c>
      <c r="N200" s="140" t="str">
        <f>IF(AND(I$199="Yes",I200&lt;&gt;"Yes"),"Required feature.","")</f>
        <v/>
      </c>
      <c r="O200" s="140"/>
      <c r="P200" s="140"/>
    </row>
    <row r="201" spans="1:16" s="231" customFormat="1">
      <c r="A201" s="221" t="s">
        <v>5</v>
      </c>
      <c r="B201" s="181" t="s">
        <v>176</v>
      </c>
      <c r="C201" s="182"/>
      <c r="D201" s="182"/>
      <c r="E201" s="195"/>
      <c r="F201" s="193"/>
      <c r="G201" s="195" t="s">
        <v>179</v>
      </c>
      <c r="H201" s="183" t="s">
        <v>71</v>
      </c>
      <c r="I201" s="28" t="s">
        <v>90</v>
      </c>
      <c r="J201" s="143"/>
      <c r="K201" s="143"/>
      <c r="L201" s="143"/>
      <c r="M201" s="138" t="s">
        <v>1380</v>
      </c>
      <c r="N201" s="140" t="str">
        <f>IF(AND(I$199="Yes",I201&lt;&gt;"Yes"),"Required feature.","")</f>
        <v/>
      </c>
      <c r="O201" s="140"/>
      <c r="P201" s="140"/>
    </row>
    <row r="202" spans="1:16" s="231" customFormat="1">
      <c r="A202" s="221" t="s">
        <v>5</v>
      </c>
      <c r="B202" s="181" t="s">
        <v>176</v>
      </c>
      <c r="C202" s="182"/>
      <c r="D202" s="182"/>
      <c r="E202" s="195"/>
      <c r="F202" s="193"/>
      <c r="G202" s="195" t="s">
        <v>180</v>
      </c>
      <c r="H202" s="183" t="s">
        <v>71</v>
      </c>
      <c r="I202" s="28" t="s">
        <v>90</v>
      </c>
      <c r="J202" s="143"/>
      <c r="K202" s="143"/>
      <c r="L202" s="143"/>
      <c r="M202" s="138" t="s">
        <v>1381</v>
      </c>
      <c r="N202" s="140" t="str">
        <f>IF(AND(I$199="Yes",I202&lt;&gt;"Yes"),"Required feature.","")</f>
        <v/>
      </c>
      <c r="O202" s="140"/>
      <c r="P202" s="140"/>
    </row>
    <row r="203" spans="1:16">
      <c r="A203" s="221" t="s">
        <v>5</v>
      </c>
      <c r="B203" s="181" t="s">
        <v>176</v>
      </c>
      <c r="C203" s="182"/>
      <c r="D203" s="182"/>
      <c r="E203" s="195"/>
      <c r="F203" s="272" t="s">
        <v>187</v>
      </c>
      <c r="G203" s="273"/>
      <c r="H203" s="183" t="s">
        <v>4</v>
      </c>
      <c r="I203" s="28" t="s">
        <v>90</v>
      </c>
      <c r="M203" s="138" t="s">
        <v>691</v>
      </c>
      <c r="N203" s="140" t="str">
        <f>IF(AND(I203="Yes",I188&lt;&gt;"Yes"),"Must support SBP Source to support Location Source.","")</f>
        <v/>
      </c>
      <c r="O203" s="140"/>
      <c r="P203" s="140"/>
    </row>
    <row r="204" spans="1:16" s="231" customFormat="1">
      <c r="A204" s="221" t="s">
        <v>5</v>
      </c>
      <c r="B204" s="181" t="s">
        <v>176</v>
      </c>
      <c r="C204" s="182"/>
      <c r="D204" s="182"/>
      <c r="E204" s="195"/>
      <c r="F204" s="193"/>
      <c r="G204" s="195" t="s">
        <v>177</v>
      </c>
      <c r="H204" s="183" t="s">
        <v>71</v>
      </c>
      <c r="I204" s="28" t="s">
        <v>90</v>
      </c>
      <c r="J204" s="143"/>
      <c r="K204" s="143"/>
      <c r="L204" s="143"/>
      <c r="M204" s="138" t="s">
        <v>1454</v>
      </c>
      <c r="N204" s="140" t="str">
        <f>IF(AND(I$203="Yes",I204&lt;&gt;"Yes"),"Required feature.","")</f>
        <v/>
      </c>
      <c r="O204" s="140"/>
      <c r="P204" s="140"/>
    </row>
    <row r="205" spans="1:16" s="231" customFormat="1">
      <c r="A205" s="221" t="s">
        <v>5</v>
      </c>
      <c r="B205" s="181" t="s">
        <v>176</v>
      </c>
      <c r="C205" s="182"/>
      <c r="D205" s="182"/>
      <c r="E205" s="195"/>
      <c r="F205" s="193"/>
      <c r="G205" s="195" t="s">
        <v>179</v>
      </c>
      <c r="H205" s="183" t="s">
        <v>71</v>
      </c>
      <c r="I205" s="28" t="s">
        <v>90</v>
      </c>
      <c r="J205" s="143"/>
      <c r="K205" s="143"/>
      <c r="L205" s="143"/>
      <c r="M205" s="138" t="s">
        <v>1384</v>
      </c>
      <c r="N205" s="140" t="str">
        <f>IF(AND(I$203="Yes",I205&lt;&gt;"Yes"),"Required feature.","")</f>
        <v/>
      </c>
      <c r="O205" s="140"/>
      <c r="P205" s="140"/>
    </row>
    <row r="206" spans="1:16" s="231" customFormat="1">
      <c r="A206" s="221" t="s">
        <v>5</v>
      </c>
      <c r="B206" s="181" t="s">
        <v>176</v>
      </c>
      <c r="C206" s="182"/>
      <c r="D206" s="182"/>
      <c r="E206" s="195"/>
      <c r="F206" s="193"/>
      <c r="G206" s="195" t="s">
        <v>180</v>
      </c>
      <c r="H206" s="183" t="s">
        <v>71</v>
      </c>
      <c r="I206" s="28" t="s">
        <v>90</v>
      </c>
      <c r="J206" s="143"/>
      <c r="K206" s="143"/>
      <c r="L206" s="143"/>
      <c r="M206" s="138" t="s">
        <v>1385</v>
      </c>
      <c r="N206" s="140" t="str">
        <f>IF(AND(I$203="Yes",I206&lt;&gt;"Yes"),"Required feature.","")</f>
        <v/>
      </c>
      <c r="O206" s="140"/>
      <c r="P206" s="140"/>
    </row>
    <row r="207" spans="1:16">
      <c r="A207" s="221" t="s">
        <v>5</v>
      </c>
      <c r="B207" s="181" t="s">
        <v>176</v>
      </c>
      <c r="C207" s="182"/>
      <c r="D207" s="182"/>
      <c r="E207" s="195"/>
      <c r="F207" s="193"/>
      <c r="G207" s="195" t="s">
        <v>1362</v>
      </c>
      <c r="H207" s="183" t="s">
        <v>4</v>
      </c>
      <c r="I207" s="28" t="s">
        <v>90</v>
      </c>
      <c r="J207" s="143"/>
      <c r="K207" s="143"/>
      <c r="L207" s="143"/>
      <c r="M207" s="138" t="s">
        <v>1386</v>
      </c>
      <c r="N207" s="140"/>
      <c r="O207" s="140"/>
      <c r="P207" s="140"/>
    </row>
    <row r="208" spans="1:16">
      <c r="A208" s="221" t="s">
        <v>5</v>
      </c>
      <c r="B208" s="181" t="s">
        <v>164</v>
      </c>
      <c r="C208" s="182"/>
      <c r="D208" s="182" t="s">
        <v>175</v>
      </c>
      <c r="E208" s="182"/>
      <c r="F208" s="182"/>
      <c r="G208" s="182"/>
      <c r="H208" s="183" t="s">
        <v>94</v>
      </c>
      <c r="I208" s="28" t="s">
        <v>90</v>
      </c>
      <c r="M208" s="138" t="s">
        <v>460</v>
      </c>
      <c r="N208" s="140" t="str">
        <f>IF(AND(I$177="Yes",I$178&lt;&gt;"Yes",$I239&lt;&gt;"Yes"),"Required Feature","")</f>
        <v/>
      </c>
      <c r="O208" s="140"/>
      <c r="P208" s="140"/>
    </row>
    <row r="209" spans="1:16">
      <c r="A209" s="221" t="s">
        <v>5</v>
      </c>
      <c r="B209" s="181" t="s">
        <v>164</v>
      </c>
      <c r="C209" s="182"/>
      <c r="D209" s="182"/>
      <c r="E209" s="272" t="s">
        <v>167</v>
      </c>
      <c r="F209" s="277"/>
      <c r="G209" s="273"/>
      <c r="H209" s="183" t="s">
        <v>71</v>
      </c>
      <c r="I209" s="28" t="s">
        <v>90</v>
      </c>
      <c r="M209" s="138" t="s">
        <v>461</v>
      </c>
      <c r="N209" s="140" t="str">
        <f>IF(AND(I$208="Yes",I209&lt;&gt;"Yes"),"Required feature.","")</f>
        <v/>
      </c>
      <c r="O209" s="140"/>
      <c r="P209" s="140"/>
    </row>
    <row r="210" spans="1:16">
      <c r="A210" s="221" t="s">
        <v>5</v>
      </c>
      <c r="B210" s="181" t="s">
        <v>164</v>
      </c>
      <c r="C210" s="182"/>
      <c r="D210" s="182"/>
      <c r="E210" s="272" t="s">
        <v>166</v>
      </c>
      <c r="F210" s="277"/>
      <c r="G210" s="273"/>
      <c r="H210" s="183" t="s">
        <v>71</v>
      </c>
      <c r="I210" s="28" t="s">
        <v>90</v>
      </c>
      <c r="M210" s="138" t="s">
        <v>462</v>
      </c>
      <c r="N210" s="140" t="str">
        <f t="shared" ref="N210:N217" si="7">IF(AND(I$208="Yes",I210&lt;&gt;"Yes"),"Required feature.","")</f>
        <v/>
      </c>
      <c r="O210" s="140"/>
      <c r="P210" s="140"/>
    </row>
    <row r="211" spans="1:16">
      <c r="A211" s="221" t="s">
        <v>5</v>
      </c>
      <c r="B211" s="181" t="s">
        <v>164</v>
      </c>
      <c r="C211" s="182"/>
      <c r="D211" s="182"/>
      <c r="E211" s="272" t="s">
        <v>168</v>
      </c>
      <c r="F211" s="277"/>
      <c r="G211" s="273"/>
      <c r="H211" s="183" t="s">
        <v>71</v>
      </c>
      <c r="I211" s="28" t="s">
        <v>90</v>
      </c>
      <c r="M211" s="138" t="s">
        <v>463</v>
      </c>
      <c r="N211" s="140" t="str">
        <f t="shared" si="7"/>
        <v/>
      </c>
      <c r="O211" s="140"/>
      <c r="P211" s="140"/>
    </row>
    <row r="212" spans="1:16">
      <c r="A212" s="221" t="s">
        <v>5</v>
      </c>
      <c r="B212" s="181" t="s">
        <v>164</v>
      </c>
      <c r="C212" s="182"/>
      <c r="D212" s="182"/>
      <c r="E212" s="272" t="s">
        <v>169</v>
      </c>
      <c r="F212" s="277"/>
      <c r="G212" s="273"/>
      <c r="H212" s="183" t="s">
        <v>71</v>
      </c>
      <c r="I212" s="28" t="s">
        <v>90</v>
      </c>
      <c r="M212" s="138" t="s">
        <v>464</v>
      </c>
      <c r="N212" s="140" t="str">
        <f t="shared" si="7"/>
        <v/>
      </c>
      <c r="O212" s="140"/>
      <c r="P212" s="140"/>
    </row>
    <row r="213" spans="1:16">
      <c r="A213" s="221" t="s">
        <v>5</v>
      </c>
      <c r="B213" s="181" t="s">
        <v>164</v>
      </c>
      <c r="C213" s="182"/>
      <c r="D213" s="182"/>
      <c r="E213" s="272" t="s">
        <v>170</v>
      </c>
      <c r="F213" s="277"/>
      <c r="G213" s="273"/>
      <c r="H213" s="183" t="s">
        <v>71</v>
      </c>
      <c r="I213" s="28" t="s">
        <v>90</v>
      </c>
      <c r="M213" s="138" t="s">
        <v>465</v>
      </c>
      <c r="N213" s="140" t="str">
        <f t="shared" si="7"/>
        <v/>
      </c>
      <c r="O213" s="140"/>
      <c r="P213" s="140"/>
    </row>
    <row r="214" spans="1:16">
      <c r="A214" s="221" t="s">
        <v>5</v>
      </c>
      <c r="B214" s="181" t="s">
        <v>164</v>
      </c>
      <c r="C214" s="182"/>
      <c r="D214" s="182"/>
      <c r="E214" s="272" t="s">
        <v>171</v>
      </c>
      <c r="F214" s="277"/>
      <c r="G214" s="273"/>
      <c r="H214" s="183" t="s">
        <v>71</v>
      </c>
      <c r="I214" s="28" t="s">
        <v>90</v>
      </c>
      <c r="M214" s="138" t="s">
        <v>466</v>
      </c>
      <c r="N214" s="140" t="str">
        <f t="shared" si="7"/>
        <v/>
      </c>
      <c r="O214" s="140"/>
      <c r="P214" s="140"/>
    </row>
    <row r="215" spans="1:16">
      <c r="A215" s="221" t="s">
        <v>5</v>
      </c>
      <c r="B215" s="181" t="s">
        <v>164</v>
      </c>
      <c r="C215" s="182"/>
      <c r="D215" s="182"/>
      <c r="E215" s="272" t="s">
        <v>172</v>
      </c>
      <c r="F215" s="277"/>
      <c r="G215" s="273"/>
      <c r="H215" s="183" t="s">
        <v>71</v>
      </c>
      <c r="I215" s="28" t="s">
        <v>90</v>
      </c>
      <c r="M215" s="138" t="s">
        <v>467</v>
      </c>
      <c r="N215" s="140" t="str">
        <f t="shared" si="7"/>
        <v/>
      </c>
      <c r="O215" s="140"/>
      <c r="P215" s="140"/>
    </row>
    <row r="216" spans="1:16">
      <c r="A216" s="221" t="s">
        <v>5</v>
      </c>
      <c r="B216" s="181" t="s">
        <v>164</v>
      </c>
      <c r="C216" s="182"/>
      <c r="D216" s="182"/>
      <c r="E216" s="272" t="s">
        <v>173</v>
      </c>
      <c r="F216" s="277"/>
      <c r="G216" s="273"/>
      <c r="H216" s="183" t="s">
        <v>71</v>
      </c>
      <c r="I216" s="28" t="s">
        <v>90</v>
      </c>
      <c r="M216" s="138" t="s">
        <v>468</v>
      </c>
      <c r="N216" s="140" t="str">
        <f t="shared" si="7"/>
        <v/>
      </c>
      <c r="O216" s="140"/>
      <c r="P216" s="140"/>
    </row>
    <row r="217" spans="1:16">
      <c r="A217" s="221" t="s">
        <v>5</v>
      </c>
      <c r="B217" s="181" t="s">
        <v>164</v>
      </c>
      <c r="C217" s="182"/>
      <c r="D217" s="182"/>
      <c r="E217" s="272" t="s">
        <v>174</v>
      </c>
      <c r="F217" s="277"/>
      <c r="G217" s="273"/>
      <c r="H217" s="183" t="s">
        <v>71</v>
      </c>
      <c r="I217" s="28" t="s">
        <v>90</v>
      </c>
      <c r="M217" s="138" t="s">
        <v>469</v>
      </c>
      <c r="N217" s="140" t="str">
        <f t="shared" si="7"/>
        <v/>
      </c>
      <c r="O217" s="140"/>
      <c r="P217" s="140"/>
    </row>
    <row r="218" spans="1:16">
      <c r="A218" s="221" t="s">
        <v>5</v>
      </c>
      <c r="B218" s="181" t="s">
        <v>176</v>
      </c>
      <c r="C218" s="182"/>
      <c r="D218" s="182"/>
      <c r="E218" s="272" t="s">
        <v>496</v>
      </c>
      <c r="F218" s="277"/>
      <c r="G218" s="273"/>
      <c r="H218" s="183" t="s">
        <v>4</v>
      </c>
      <c r="I218" s="28" t="s">
        <v>90</v>
      </c>
      <c r="M218" s="138" t="s">
        <v>692</v>
      </c>
      <c r="N218" s="140" t="str">
        <f>IF(AND(I218="Yes",I208&lt;&gt;"Yes"),"Must support CDB Sink to support SBP Sink.","")</f>
        <v/>
      </c>
      <c r="O218" s="140"/>
      <c r="P218" s="140"/>
    </row>
    <row r="219" spans="1:16">
      <c r="A219" s="221" t="s">
        <v>5</v>
      </c>
      <c r="B219" s="181" t="s">
        <v>176</v>
      </c>
      <c r="C219" s="182"/>
      <c r="D219" s="182"/>
      <c r="E219" s="182"/>
      <c r="F219" s="272" t="s">
        <v>177</v>
      </c>
      <c r="G219" s="273"/>
      <c r="H219" s="183" t="s">
        <v>71</v>
      </c>
      <c r="I219" s="28" t="s">
        <v>90</v>
      </c>
      <c r="M219" s="138" t="s">
        <v>693</v>
      </c>
      <c r="N219" s="140" t="str">
        <f>IF(AND(I$218="Yes",I219&lt;&gt;"Yes"),"Required feature.","")</f>
        <v/>
      </c>
      <c r="O219" s="140"/>
      <c r="P219" s="140"/>
    </row>
    <row r="220" spans="1:16">
      <c r="A220" s="221" t="s">
        <v>5</v>
      </c>
      <c r="B220" s="181" t="s">
        <v>176</v>
      </c>
      <c r="C220" s="182"/>
      <c r="D220" s="182"/>
      <c r="E220" s="182"/>
      <c r="F220" s="272" t="s">
        <v>178</v>
      </c>
      <c r="G220" s="273"/>
      <c r="H220" s="183" t="s">
        <v>71</v>
      </c>
      <c r="I220" s="28" t="s">
        <v>90</v>
      </c>
      <c r="M220" s="138" t="s">
        <v>694</v>
      </c>
      <c r="N220" s="140" t="str">
        <f t="shared" ref="N220:N228" si="8">IF(AND(I$218="Yes",I220&lt;&gt;"Yes"),"Required feature.","")</f>
        <v/>
      </c>
      <c r="O220" s="140"/>
      <c r="P220" s="140"/>
    </row>
    <row r="221" spans="1:16">
      <c r="A221" s="221" t="s">
        <v>5</v>
      </c>
      <c r="B221" s="181" t="s">
        <v>176</v>
      </c>
      <c r="C221" s="182"/>
      <c r="D221" s="182"/>
      <c r="E221" s="182"/>
      <c r="F221" s="272" t="s">
        <v>179</v>
      </c>
      <c r="G221" s="273"/>
      <c r="H221" s="183" t="s">
        <v>71</v>
      </c>
      <c r="I221" s="28" t="s">
        <v>90</v>
      </c>
      <c r="M221" s="138" t="s">
        <v>695</v>
      </c>
      <c r="N221" s="140" t="str">
        <f t="shared" si="8"/>
        <v/>
      </c>
      <c r="O221" s="140"/>
      <c r="P221" s="140"/>
    </row>
    <row r="222" spans="1:16" s="184" customFormat="1">
      <c r="A222" s="254" t="s">
        <v>5</v>
      </c>
      <c r="B222" s="254" t="s">
        <v>176</v>
      </c>
      <c r="C222" s="262"/>
      <c r="D222" s="262"/>
      <c r="E222" s="262"/>
      <c r="F222" s="263"/>
      <c r="G222" s="262" t="s">
        <v>2144</v>
      </c>
      <c r="H222" s="190" t="s">
        <v>4</v>
      </c>
      <c r="I222" s="259" t="s">
        <v>90</v>
      </c>
      <c r="M222" s="171" t="s">
        <v>2148</v>
      </c>
      <c r="N222" s="215" t="str">
        <f t="shared" ref="N222" si="9">IF(AND(I$216="Yes",I222&lt;&gt;"Yes"),"Required feature.","")</f>
        <v/>
      </c>
      <c r="O222" s="215" t="s">
        <v>2145</v>
      </c>
      <c r="P222" s="215" t="s">
        <v>1948</v>
      </c>
    </row>
    <row r="223" spans="1:16">
      <c r="A223" s="221" t="s">
        <v>5</v>
      </c>
      <c r="B223" s="181" t="s">
        <v>176</v>
      </c>
      <c r="C223" s="182"/>
      <c r="D223" s="182"/>
      <c r="E223" s="182"/>
      <c r="F223" s="272" t="s">
        <v>180</v>
      </c>
      <c r="G223" s="273"/>
      <c r="H223" s="183" t="s">
        <v>71</v>
      </c>
      <c r="I223" s="28" t="s">
        <v>90</v>
      </c>
      <c r="M223" s="138" t="s">
        <v>696</v>
      </c>
      <c r="N223" s="140" t="str">
        <f t="shared" si="8"/>
        <v/>
      </c>
      <c r="O223" s="140"/>
      <c r="P223" s="140"/>
    </row>
    <row r="224" spans="1:16">
      <c r="A224" s="221" t="s">
        <v>5</v>
      </c>
      <c r="B224" s="181" t="s">
        <v>176</v>
      </c>
      <c r="C224" s="182"/>
      <c r="D224" s="182"/>
      <c r="E224" s="182"/>
      <c r="F224" s="272" t="s">
        <v>181</v>
      </c>
      <c r="G224" s="273"/>
      <c r="H224" s="183" t="s">
        <v>71</v>
      </c>
      <c r="I224" s="28" t="s">
        <v>90</v>
      </c>
      <c r="M224" s="138" t="s">
        <v>697</v>
      </c>
      <c r="N224" s="140" t="str">
        <f t="shared" si="8"/>
        <v/>
      </c>
      <c r="O224" s="140"/>
      <c r="P224" s="140"/>
    </row>
    <row r="225" spans="1:16">
      <c r="A225" s="221" t="s">
        <v>5</v>
      </c>
      <c r="B225" s="181" t="s">
        <v>176</v>
      </c>
      <c r="C225" s="182"/>
      <c r="D225" s="182"/>
      <c r="E225" s="182"/>
      <c r="F225" s="272" t="s">
        <v>182</v>
      </c>
      <c r="G225" s="273"/>
      <c r="H225" s="183" t="s">
        <v>71</v>
      </c>
      <c r="I225" s="28" t="s">
        <v>90</v>
      </c>
      <c r="M225" s="138" t="s">
        <v>698</v>
      </c>
      <c r="N225" s="140" t="str">
        <f t="shared" si="8"/>
        <v/>
      </c>
      <c r="O225" s="140"/>
      <c r="P225" s="140"/>
    </row>
    <row r="226" spans="1:16">
      <c r="A226" s="221" t="s">
        <v>5</v>
      </c>
      <c r="B226" s="181" t="s">
        <v>176</v>
      </c>
      <c r="C226" s="182"/>
      <c r="D226" s="182"/>
      <c r="E226" s="182"/>
      <c r="F226" s="272" t="s">
        <v>183</v>
      </c>
      <c r="G226" s="273"/>
      <c r="H226" s="183" t="s">
        <v>71</v>
      </c>
      <c r="I226" s="28" t="s">
        <v>90</v>
      </c>
      <c r="M226" s="138" t="s">
        <v>699</v>
      </c>
      <c r="N226" s="140" t="str">
        <f t="shared" si="8"/>
        <v/>
      </c>
      <c r="O226" s="140"/>
      <c r="P226" s="140"/>
    </row>
    <row r="227" spans="1:16">
      <c r="A227" s="221" t="s">
        <v>5</v>
      </c>
      <c r="B227" s="181" t="s">
        <v>176</v>
      </c>
      <c r="C227" s="182"/>
      <c r="D227" s="182"/>
      <c r="E227" s="182"/>
      <c r="F227" s="272" t="s">
        <v>184</v>
      </c>
      <c r="G227" s="273"/>
      <c r="H227" s="183" t="s">
        <v>71</v>
      </c>
      <c r="I227" s="28" t="s">
        <v>90</v>
      </c>
      <c r="M227" s="138" t="s">
        <v>700</v>
      </c>
      <c r="N227" s="140" t="str">
        <f t="shared" si="8"/>
        <v/>
      </c>
      <c r="O227" s="140"/>
      <c r="P227" s="140"/>
    </row>
    <row r="228" spans="1:16">
      <c r="A228" s="221" t="s">
        <v>5</v>
      </c>
      <c r="B228" s="181" t="s">
        <v>176</v>
      </c>
      <c r="C228" s="182"/>
      <c r="D228" s="182"/>
      <c r="E228" s="182"/>
      <c r="F228" s="272" t="s">
        <v>185</v>
      </c>
      <c r="G228" s="273"/>
      <c r="H228" s="183" t="s">
        <v>71</v>
      </c>
      <c r="I228" s="28" t="s">
        <v>90</v>
      </c>
      <c r="M228" s="138" t="s">
        <v>701</v>
      </c>
      <c r="N228" s="140" t="str">
        <f t="shared" si="8"/>
        <v/>
      </c>
      <c r="O228" s="140"/>
      <c r="P228" s="140"/>
    </row>
    <row r="229" spans="1:16">
      <c r="A229" s="221" t="s">
        <v>5</v>
      </c>
      <c r="B229" s="181" t="s">
        <v>176</v>
      </c>
      <c r="C229" s="188"/>
      <c r="D229" s="188"/>
      <c r="E229" s="272" t="s">
        <v>497</v>
      </c>
      <c r="F229" s="277"/>
      <c r="G229" s="273"/>
      <c r="H229" s="183" t="s">
        <v>4</v>
      </c>
      <c r="I229" s="28" t="s">
        <v>90</v>
      </c>
      <c r="M229" s="138" t="s">
        <v>702</v>
      </c>
      <c r="N229" s="140"/>
      <c r="O229" s="140"/>
      <c r="P229" s="140"/>
    </row>
    <row r="230" spans="1:16">
      <c r="A230" s="221" t="s">
        <v>5</v>
      </c>
      <c r="B230" s="181" t="s">
        <v>176</v>
      </c>
      <c r="C230" s="182"/>
      <c r="D230" s="182"/>
      <c r="E230" s="195"/>
      <c r="F230" s="272" t="s">
        <v>186</v>
      </c>
      <c r="G230" s="273"/>
      <c r="H230" s="183" t="s">
        <v>4</v>
      </c>
      <c r="I230" s="28" t="s">
        <v>90</v>
      </c>
      <c r="M230" s="138" t="s">
        <v>703</v>
      </c>
      <c r="N230" s="140" t="str">
        <f>IF(AND(I230="Yes",I218&lt;&gt;"Yes"),"Must support SBP Sink to support GPS Sink.","")</f>
        <v/>
      </c>
      <c r="O230" s="140"/>
      <c r="P230" s="140"/>
    </row>
    <row r="231" spans="1:16" s="231" customFormat="1">
      <c r="A231" s="221" t="s">
        <v>5</v>
      </c>
      <c r="B231" s="181" t="s">
        <v>176</v>
      </c>
      <c r="C231" s="182"/>
      <c r="D231" s="182"/>
      <c r="E231" s="195"/>
      <c r="F231" s="193"/>
      <c r="G231" s="195" t="s">
        <v>177</v>
      </c>
      <c r="H231" s="183" t="s">
        <v>71</v>
      </c>
      <c r="I231" s="24" t="s">
        <v>90</v>
      </c>
      <c r="J231" s="143"/>
      <c r="K231" s="143"/>
      <c r="L231" s="143"/>
      <c r="M231" s="138" t="s">
        <v>1376</v>
      </c>
      <c r="N231" s="140" t="str">
        <f>IF(AND(I$230="Yes",I231&lt;&gt;"Yes"),"Required feature.","")</f>
        <v/>
      </c>
      <c r="O231" s="140"/>
      <c r="P231" s="140"/>
    </row>
    <row r="232" spans="1:16" s="231" customFormat="1">
      <c r="A232" s="221" t="s">
        <v>5</v>
      </c>
      <c r="B232" s="181" t="s">
        <v>176</v>
      </c>
      <c r="C232" s="182"/>
      <c r="D232" s="182"/>
      <c r="E232" s="195"/>
      <c r="F232" s="193"/>
      <c r="G232" s="195" t="s">
        <v>179</v>
      </c>
      <c r="H232" s="183" t="s">
        <v>71</v>
      </c>
      <c r="I232" s="24" t="s">
        <v>90</v>
      </c>
      <c r="J232" s="143"/>
      <c r="K232" s="143"/>
      <c r="L232" s="143"/>
      <c r="M232" s="138" t="s">
        <v>1377</v>
      </c>
      <c r="N232" s="140" t="str">
        <f>IF(AND(I$230="Yes",I232&lt;&gt;"Yes"),"Required feature.","")</f>
        <v/>
      </c>
      <c r="O232" s="140"/>
      <c r="P232" s="140"/>
    </row>
    <row r="233" spans="1:16" s="231" customFormat="1">
      <c r="A233" s="221" t="s">
        <v>5</v>
      </c>
      <c r="B233" s="181" t="s">
        <v>176</v>
      </c>
      <c r="C233" s="182"/>
      <c r="D233" s="182"/>
      <c r="E233" s="195"/>
      <c r="F233" s="193"/>
      <c r="G233" s="195" t="s">
        <v>180</v>
      </c>
      <c r="H233" s="183" t="s">
        <v>71</v>
      </c>
      <c r="I233" s="24" t="s">
        <v>90</v>
      </c>
      <c r="J233" s="143"/>
      <c r="K233" s="143"/>
      <c r="L233" s="143"/>
      <c r="M233" s="138" t="s">
        <v>1378</v>
      </c>
      <c r="N233" s="140" t="str">
        <f>IF(AND(I$230="Yes",I233&lt;&gt;"Yes"),"Required feature.","")</f>
        <v/>
      </c>
      <c r="O233" s="140"/>
      <c r="P233" s="140"/>
    </row>
    <row r="234" spans="1:16">
      <c r="A234" s="221" t="s">
        <v>5</v>
      </c>
      <c r="B234" s="181" t="s">
        <v>176</v>
      </c>
      <c r="C234" s="182"/>
      <c r="D234" s="182"/>
      <c r="E234" s="195"/>
      <c r="F234" s="272" t="s">
        <v>187</v>
      </c>
      <c r="G234" s="273"/>
      <c r="H234" s="183" t="s">
        <v>4</v>
      </c>
      <c r="I234" s="28" t="s">
        <v>90</v>
      </c>
      <c r="M234" s="138" t="s">
        <v>704</v>
      </c>
      <c r="N234" s="140" t="str">
        <f>IF(AND(I234="Yes",I218&lt;&gt;"Yes"),"Must support SBP Sink to support Location Sink.","")</f>
        <v/>
      </c>
      <c r="O234" s="140"/>
      <c r="P234" s="140"/>
    </row>
    <row r="235" spans="1:16" s="231" customFormat="1">
      <c r="A235" s="221" t="s">
        <v>5</v>
      </c>
      <c r="B235" s="181" t="s">
        <v>176</v>
      </c>
      <c r="C235" s="182"/>
      <c r="D235" s="182"/>
      <c r="E235" s="195"/>
      <c r="F235" s="193"/>
      <c r="G235" s="195" t="s">
        <v>177</v>
      </c>
      <c r="H235" s="183" t="s">
        <v>71</v>
      </c>
      <c r="I235" s="24" t="s">
        <v>90</v>
      </c>
      <c r="J235" s="143"/>
      <c r="K235" s="143"/>
      <c r="L235" s="143"/>
      <c r="M235" s="138" t="s">
        <v>1382</v>
      </c>
      <c r="N235" s="140" t="str">
        <f>IF(AND(I$234="Yes",I235&lt;&gt;"Yes"),"Required feature.","")</f>
        <v/>
      </c>
      <c r="O235" s="140"/>
      <c r="P235" s="140"/>
    </row>
    <row r="236" spans="1:16" s="231" customFormat="1">
      <c r="A236" s="221" t="s">
        <v>5</v>
      </c>
      <c r="B236" s="181" t="s">
        <v>176</v>
      </c>
      <c r="C236" s="182"/>
      <c r="D236" s="182"/>
      <c r="E236" s="195"/>
      <c r="F236" s="193"/>
      <c r="G236" s="195" t="s">
        <v>179</v>
      </c>
      <c r="H236" s="183" t="s">
        <v>71</v>
      </c>
      <c r="I236" s="24" t="s">
        <v>90</v>
      </c>
      <c r="J236" s="143"/>
      <c r="K236" s="143"/>
      <c r="L236" s="143"/>
      <c r="M236" s="138" t="s">
        <v>1383</v>
      </c>
      <c r="N236" s="140" t="str">
        <f>IF(AND(I$234="Yes",I236&lt;&gt;"Yes"),"Required feature.","")</f>
        <v/>
      </c>
      <c r="O236" s="140"/>
      <c r="P236" s="140"/>
    </row>
    <row r="237" spans="1:16" s="231" customFormat="1">
      <c r="A237" s="221" t="s">
        <v>5</v>
      </c>
      <c r="B237" s="181" t="s">
        <v>176</v>
      </c>
      <c r="C237" s="182"/>
      <c r="D237" s="182"/>
      <c r="E237" s="195"/>
      <c r="F237" s="193"/>
      <c r="G237" s="195" t="s">
        <v>180</v>
      </c>
      <c r="H237" s="183" t="s">
        <v>71</v>
      </c>
      <c r="I237" s="24" t="s">
        <v>90</v>
      </c>
      <c r="J237" s="143"/>
      <c r="K237" s="143"/>
      <c r="L237" s="143"/>
      <c r="M237" s="138" t="s">
        <v>1387</v>
      </c>
      <c r="N237" s="140" t="str">
        <f>IF(AND(I$234="Yes",I237&lt;&gt;"Yes"),"Required feature.","")</f>
        <v/>
      </c>
      <c r="O237" s="140"/>
      <c r="P237" s="140"/>
    </row>
    <row r="238" spans="1:16" s="231" customFormat="1">
      <c r="A238" s="221" t="s">
        <v>5</v>
      </c>
      <c r="B238" s="181" t="s">
        <v>1627</v>
      </c>
      <c r="C238" s="182" t="s">
        <v>1628</v>
      </c>
      <c r="D238" s="182"/>
      <c r="E238" s="195"/>
      <c r="F238" s="193"/>
      <c r="G238" s="195"/>
      <c r="H238" s="183" t="s">
        <v>3</v>
      </c>
      <c r="I238" s="24" t="s">
        <v>90</v>
      </c>
      <c r="J238" s="143"/>
      <c r="K238" s="143"/>
      <c r="L238" s="143"/>
      <c r="M238" s="138" t="s">
        <v>1626</v>
      </c>
      <c r="N238" s="140" t="str">
        <f>IF(I238&lt;&gt;"Yes","Required feature.","")</f>
        <v>Required feature.</v>
      </c>
      <c r="O238" s="140">
        <v>38</v>
      </c>
      <c r="P238" s="140" t="s">
        <v>2095</v>
      </c>
    </row>
    <row r="239" spans="1:16" s="184" customFormat="1">
      <c r="A239" s="221" t="s">
        <v>5</v>
      </c>
      <c r="B239" s="181" t="s">
        <v>1627</v>
      </c>
      <c r="C239" s="182"/>
      <c r="D239" s="182" t="s">
        <v>1839</v>
      </c>
      <c r="E239" s="193"/>
      <c r="F239" s="232"/>
      <c r="G239" s="197"/>
      <c r="H239" s="183" t="s">
        <v>3</v>
      </c>
      <c r="I239" s="24" t="s">
        <v>90</v>
      </c>
      <c r="M239" s="138" t="s">
        <v>1840</v>
      </c>
      <c r="N239" s="140" t="str">
        <f>IF(I239&lt;&gt;"Yes","Required feature.","")</f>
        <v>Required feature.</v>
      </c>
      <c r="O239" s="140" t="s">
        <v>1903</v>
      </c>
      <c r="P239" s="140" t="s">
        <v>2095</v>
      </c>
    </row>
    <row r="240" spans="1:16" s="231" customFormat="1">
      <c r="A240" s="221" t="s">
        <v>5</v>
      </c>
      <c r="B240" s="181" t="s">
        <v>1627</v>
      </c>
      <c r="C240" s="182"/>
      <c r="D240" s="182" t="s">
        <v>1684</v>
      </c>
      <c r="E240" s="193"/>
      <c r="F240" s="232"/>
      <c r="G240" s="197"/>
      <c r="H240" s="183" t="s">
        <v>3</v>
      </c>
      <c r="I240" s="24" t="s">
        <v>90</v>
      </c>
      <c r="J240" s="143"/>
      <c r="K240" s="143"/>
      <c r="L240" s="143"/>
      <c r="M240" s="138" t="s">
        <v>1915</v>
      </c>
      <c r="N240" s="140" t="str">
        <f t="shared" ref="N240:N243" si="10">IF(I240&lt;&gt;"Yes","Required feature.","")</f>
        <v>Required feature.</v>
      </c>
      <c r="O240" s="140" t="s">
        <v>1904</v>
      </c>
      <c r="P240" s="140" t="s">
        <v>2095</v>
      </c>
    </row>
    <row r="241" spans="1:16" s="231" customFormat="1">
      <c r="A241" s="221" t="s">
        <v>5</v>
      </c>
      <c r="B241" s="181" t="s">
        <v>1627</v>
      </c>
      <c r="C241" s="182"/>
      <c r="D241" s="182" t="s">
        <v>1924</v>
      </c>
      <c r="E241" s="193"/>
      <c r="F241" s="232"/>
      <c r="G241" s="197"/>
      <c r="H241" s="183" t="s">
        <v>3</v>
      </c>
      <c r="I241" s="24" t="s">
        <v>90</v>
      </c>
      <c r="J241" s="143"/>
      <c r="K241" s="143"/>
      <c r="L241" s="143"/>
      <c r="M241" s="138" t="s">
        <v>1925</v>
      </c>
      <c r="N241" s="140" t="str">
        <f t="shared" si="10"/>
        <v>Required feature.</v>
      </c>
      <c r="O241" s="140" t="s">
        <v>1905</v>
      </c>
      <c r="P241" s="140" t="s">
        <v>2095</v>
      </c>
    </row>
    <row r="242" spans="1:16" s="231" customFormat="1">
      <c r="A242" s="221" t="s">
        <v>5</v>
      </c>
      <c r="B242" s="181" t="s">
        <v>1627</v>
      </c>
      <c r="C242" s="182"/>
      <c r="D242" s="182" t="s">
        <v>1899</v>
      </c>
      <c r="E242" s="193"/>
      <c r="F242" s="232"/>
      <c r="G242" s="197"/>
      <c r="H242" s="183" t="s">
        <v>3</v>
      </c>
      <c r="I242" s="24" t="s">
        <v>90</v>
      </c>
      <c r="J242" s="143"/>
      <c r="K242" s="143"/>
      <c r="L242" s="143"/>
      <c r="M242" s="138" t="s">
        <v>1916</v>
      </c>
      <c r="N242" s="140" t="str">
        <f t="shared" si="10"/>
        <v>Required feature.</v>
      </c>
      <c r="O242" s="140" t="s">
        <v>1906</v>
      </c>
      <c r="P242" s="140" t="s">
        <v>2095</v>
      </c>
    </row>
    <row r="243" spans="1:16" s="231" customFormat="1">
      <c r="A243" s="221" t="s">
        <v>5</v>
      </c>
      <c r="B243" s="181" t="s">
        <v>1627</v>
      </c>
      <c r="C243" s="182"/>
      <c r="D243" s="182" t="s">
        <v>1900</v>
      </c>
      <c r="E243" s="193"/>
      <c r="F243" s="232"/>
      <c r="G243" s="197"/>
      <c r="H243" s="183" t="s">
        <v>3</v>
      </c>
      <c r="I243" s="24" t="s">
        <v>90</v>
      </c>
      <c r="J243" s="143"/>
      <c r="K243" s="143"/>
      <c r="L243" s="143"/>
      <c r="M243" s="138" t="s">
        <v>1917</v>
      </c>
      <c r="N243" s="140" t="str">
        <f t="shared" si="10"/>
        <v>Required feature.</v>
      </c>
      <c r="O243" s="140" t="s">
        <v>1907</v>
      </c>
      <c r="P243" s="140" t="s">
        <v>2095</v>
      </c>
    </row>
    <row r="244" spans="1:16" s="231" customFormat="1">
      <c r="A244" s="221" t="s">
        <v>5</v>
      </c>
      <c r="B244" s="181" t="s">
        <v>1627</v>
      </c>
      <c r="C244" s="182"/>
      <c r="D244" s="182" t="s">
        <v>1901</v>
      </c>
      <c r="E244" s="193"/>
      <c r="F244" s="232"/>
      <c r="G244" s="197"/>
      <c r="H244" s="183" t="s">
        <v>3</v>
      </c>
      <c r="I244" s="24" t="s">
        <v>90</v>
      </c>
      <c r="J244" s="143"/>
      <c r="K244" s="143"/>
      <c r="L244" s="143"/>
      <c r="M244" s="138" t="s">
        <v>1918</v>
      </c>
      <c r="N244" s="140" t="str">
        <f t="shared" ref="N244:N247" si="11">IF(I244&lt;&gt;"Yes","Required feature.","")</f>
        <v>Required feature.</v>
      </c>
      <c r="O244" s="140" t="s">
        <v>1908</v>
      </c>
      <c r="P244" s="140" t="s">
        <v>2095</v>
      </c>
    </row>
    <row r="245" spans="1:16" s="231" customFormat="1">
      <c r="A245" s="221" t="s">
        <v>5</v>
      </c>
      <c r="B245" s="181" t="s">
        <v>1627</v>
      </c>
      <c r="C245" s="182"/>
      <c r="D245" s="195" t="s">
        <v>1947</v>
      </c>
      <c r="E245" s="193"/>
      <c r="F245" s="232"/>
      <c r="G245" s="197"/>
      <c r="H245" s="183" t="s">
        <v>4</v>
      </c>
      <c r="I245" s="24" t="s">
        <v>90</v>
      </c>
      <c r="J245" s="143"/>
      <c r="K245" s="143"/>
      <c r="L245" s="143"/>
      <c r="M245" s="138" t="s">
        <v>1920</v>
      </c>
      <c r="N245" s="140" t="str">
        <f t="shared" si="11"/>
        <v>Required feature.</v>
      </c>
      <c r="O245" s="140" t="s">
        <v>1909</v>
      </c>
      <c r="P245" s="140" t="s">
        <v>2095</v>
      </c>
    </row>
    <row r="246" spans="1:16" s="184" customFormat="1">
      <c r="A246" s="221" t="s">
        <v>5</v>
      </c>
      <c r="B246" s="181" t="s">
        <v>1627</v>
      </c>
      <c r="C246" s="182"/>
      <c r="D246" s="195" t="s">
        <v>1841</v>
      </c>
      <c r="E246" s="193"/>
      <c r="F246" s="232"/>
      <c r="G246" s="197"/>
      <c r="H246" s="183" t="s">
        <v>4</v>
      </c>
      <c r="I246" s="24" t="s">
        <v>90</v>
      </c>
      <c r="M246" s="138" t="s">
        <v>1919</v>
      </c>
      <c r="N246" s="140"/>
      <c r="O246" s="140" t="s">
        <v>1910</v>
      </c>
      <c r="P246" s="140" t="s">
        <v>2095</v>
      </c>
    </row>
    <row r="247" spans="1:16" s="231" customFormat="1">
      <c r="A247" s="221" t="s">
        <v>5</v>
      </c>
      <c r="B247" s="181" t="s">
        <v>1627</v>
      </c>
      <c r="C247" s="182"/>
      <c r="D247" s="182" t="s">
        <v>1922</v>
      </c>
      <c r="E247" s="193"/>
      <c r="F247" s="232"/>
      <c r="G247" s="197"/>
      <c r="H247" s="183" t="s">
        <v>3</v>
      </c>
      <c r="I247" s="24" t="s">
        <v>90</v>
      </c>
      <c r="J247" s="143"/>
      <c r="K247" s="143"/>
      <c r="L247" s="143"/>
      <c r="M247" s="138" t="s">
        <v>1921</v>
      </c>
      <c r="N247" s="140" t="str">
        <f t="shared" si="11"/>
        <v>Required feature.</v>
      </c>
      <c r="O247" s="140" t="s">
        <v>1911</v>
      </c>
      <c r="P247" s="140" t="s">
        <v>2095</v>
      </c>
    </row>
    <row r="248" spans="1:16" s="231" customFormat="1">
      <c r="A248" s="221" t="s">
        <v>5</v>
      </c>
      <c r="B248" s="181" t="s">
        <v>1627</v>
      </c>
      <c r="C248" s="182"/>
      <c r="D248" s="182" t="s">
        <v>1902</v>
      </c>
      <c r="E248" s="193"/>
      <c r="F248" s="232"/>
      <c r="G248" s="197"/>
      <c r="H248" s="183" t="s">
        <v>3</v>
      </c>
      <c r="I248" s="24" t="s">
        <v>90</v>
      </c>
      <c r="J248" s="143"/>
      <c r="K248" s="143"/>
      <c r="L248" s="143"/>
      <c r="M248" s="138" t="s">
        <v>1688</v>
      </c>
      <c r="N248" s="140" t="str">
        <f t="shared" ref="N248" si="12">IF(I248&lt;&gt;"Yes","Required feature.","")</f>
        <v>Required feature.</v>
      </c>
      <c r="O248" s="140" t="s">
        <v>1912</v>
      </c>
      <c r="P248" s="140" t="s">
        <v>2095</v>
      </c>
    </row>
    <row r="249" spans="1:16" s="231" customFormat="1">
      <c r="A249" s="221" t="s">
        <v>5</v>
      </c>
      <c r="B249" s="181" t="s">
        <v>1627</v>
      </c>
      <c r="C249" s="182"/>
      <c r="D249" s="182" t="s">
        <v>1685</v>
      </c>
      <c r="E249" s="193"/>
      <c r="F249" s="232"/>
      <c r="G249" s="197"/>
      <c r="H249" s="183" t="s">
        <v>4</v>
      </c>
      <c r="I249" s="24" t="s">
        <v>90</v>
      </c>
      <c r="J249" s="143"/>
      <c r="K249" s="143"/>
      <c r="L249" s="143"/>
      <c r="M249" s="138" t="s">
        <v>1923</v>
      </c>
      <c r="N249" s="140"/>
      <c r="O249" s="140" t="s">
        <v>1913</v>
      </c>
      <c r="P249" s="140" t="s">
        <v>2095</v>
      </c>
    </row>
    <row r="250" spans="1:16" s="231" customFormat="1">
      <c r="A250" s="221" t="s">
        <v>5</v>
      </c>
      <c r="B250" s="181" t="s">
        <v>1627</v>
      </c>
      <c r="C250" s="182"/>
      <c r="D250" s="182" t="s">
        <v>1686</v>
      </c>
      <c r="E250" s="193"/>
      <c r="F250" s="232"/>
      <c r="G250" s="197"/>
      <c r="H250" s="183" t="s">
        <v>4</v>
      </c>
      <c r="I250" s="24" t="s">
        <v>90</v>
      </c>
      <c r="J250" s="143"/>
      <c r="K250" s="143"/>
      <c r="L250" s="143"/>
      <c r="M250" s="138" t="s">
        <v>1687</v>
      </c>
      <c r="N250" s="140"/>
      <c r="O250" s="140" t="s">
        <v>1914</v>
      </c>
      <c r="P250" s="140" t="s">
        <v>2095</v>
      </c>
    </row>
    <row r="251" spans="1:16" s="231" customFormat="1">
      <c r="A251" s="221" t="s">
        <v>5</v>
      </c>
      <c r="B251" s="181" t="s">
        <v>1689</v>
      </c>
      <c r="C251" s="182" t="s">
        <v>1690</v>
      </c>
      <c r="D251" s="182"/>
      <c r="E251" s="193"/>
      <c r="F251" s="232"/>
      <c r="G251" s="197"/>
      <c r="H251" s="183" t="s">
        <v>3</v>
      </c>
      <c r="I251" s="24" t="s">
        <v>90</v>
      </c>
      <c r="J251" s="143"/>
      <c r="K251" s="143"/>
      <c r="L251" s="143"/>
      <c r="M251" s="138" t="s">
        <v>1691</v>
      </c>
      <c r="N251" s="140" t="str">
        <f>IF(I251&lt;&gt;"Yes","Required feature.","")</f>
        <v>Required feature.</v>
      </c>
      <c r="O251" s="140">
        <v>36</v>
      </c>
      <c r="P251" s="140"/>
    </row>
    <row r="252" spans="1:16" s="231" customFormat="1">
      <c r="A252" s="221" t="s">
        <v>5</v>
      </c>
      <c r="B252" s="181" t="s">
        <v>1689</v>
      </c>
      <c r="C252" s="182"/>
      <c r="D252" s="182" t="s">
        <v>1707</v>
      </c>
      <c r="E252" s="193"/>
      <c r="F252" s="232"/>
      <c r="G252" s="197"/>
      <c r="H252" s="183" t="s">
        <v>3</v>
      </c>
      <c r="I252" s="24" t="s">
        <v>90</v>
      </c>
      <c r="J252" s="143"/>
      <c r="K252" s="143"/>
      <c r="L252" s="143"/>
      <c r="M252" s="138" t="s">
        <v>1709</v>
      </c>
      <c r="N252" s="140" t="str">
        <f>IF(I252&lt;&gt;"Yes","Required feature.","")</f>
        <v>Required feature.</v>
      </c>
      <c r="O252" s="140" t="s">
        <v>1857</v>
      </c>
      <c r="P252" s="140"/>
    </row>
    <row r="253" spans="1:16" s="184" customFormat="1">
      <c r="A253" s="221" t="s">
        <v>5</v>
      </c>
      <c r="B253" s="181" t="s">
        <v>1689</v>
      </c>
      <c r="C253" s="182"/>
      <c r="D253" s="182" t="s">
        <v>1854</v>
      </c>
      <c r="E253" s="193"/>
      <c r="F253" s="232"/>
      <c r="G253" s="197"/>
      <c r="H253" s="183" t="s">
        <v>3</v>
      </c>
      <c r="I253" s="24" t="s">
        <v>90</v>
      </c>
      <c r="M253" s="138" t="s">
        <v>1855</v>
      </c>
      <c r="N253" s="140" t="str">
        <f>IF(I253&lt;&gt;"Yes","Required feature.","")</f>
        <v>Required feature.</v>
      </c>
      <c r="O253" s="140" t="s">
        <v>1856</v>
      </c>
      <c r="P253" s="140"/>
    </row>
    <row r="254" spans="1:16" s="231" customFormat="1">
      <c r="A254" s="221" t="s">
        <v>5</v>
      </c>
      <c r="B254" s="181" t="s">
        <v>1689</v>
      </c>
      <c r="C254" s="195"/>
      <c r="D254" s="195" t="s">
        <v>1695</v>
      </c>
      <c r="E254" s="193"/>
      <c r="F254" s="232"/>
      <c r="G254" s="197"/>
      <c r="H254" s="183" t="s">
        <v>3</v>
      </c>
      <c r="I254" s="24" t="s">
        <v>90</v>
      </c>
      <c r="J254" s="143"/>
      <c r="K254" s="143"/>
      <c r="L254" s="143"/>
      <c r="M254" s="138" t="s">
        <v>1692</v>
      </c>
      <c r="N254" s="140"/>
      <c r="O254" s="140" t="s">
        <v>1858</v>
      </c>
      <c r="P254" s="140" t="s">
        <v>93</v>
      </c>
    </row>
    <row r="255" spans="1:16" s="231" customFormat="1">
      <c r="A255" s="221" t="s">
        <v>5</v>
      </c>
      <c r="B255" s="181" t="s">
        <v>1689</v>
      </c>
      <c r="C255" s="195"/>
      <c r="D255" s="195" t="s">
        <v>1859</v>
      </c>
      <c r="E255" s="193"/>
      <c r="F255" s="232"/>
      <c r="G255" s="197"/>
      <c r="H255" s="183" t="s">
        <v>3</v>
      </c>
      <c r="I255" s="24" t="s">
        <v>90</v>
      </c>
      <c r="J255" s="143"/>
      <c r="K255" s="143"/>
      <c r="L255" s="143"/>
      <c r="M255" s="138" t="s">
        <v>1860</v>
      </c>
      <c r="N255" s="140" t="str">
        <f>IF(I255&lt;&gt;"Yes","Required feature.","")</f>
        <v>Required feature.</v>
      </c>
      <c r="O255" s="140" t="s">
        <v>1861</v>
      </c>
      <c r="P255" s="140"/>
    </row>
    <row r="256" spans="1:16" s="231" customFormat="1">
      <c r="A256" s="221" t="s">
        <v>5</v>
      </c>
      <c r="B256" s="181" t="s">
        <v>1689</v>
      </c>
      <c r="C256" s="195"/>
      <c r="D256" s="182" t="s">
        <v>1693</v>
      </c>
      <c r="E256" s="193"/>
      <c r="F256" s="232"/>
      <c r="G256" s="197"/>
      <c r="H256" s="183" t="s">
        <v>3</v>
      </c>
      <c r="I256" s="24" t="s">
        <v>90</v>
      </c>
      <c r="J256" s="143"/>
      <c r="K256" s="143"/>
      <c r="L256" s="143"/>
      <c r="M256" s="138" t="s">
        <v>1694</v>
      </c>
      <c r="N256" s="140" t="str">
        <f>IF(I256&lt;&gt;"Yes","Required feature.","")</f>
        <v>Required feature.</v>
      </c>
      <c r="O256" s="141" t="str">
        <f>"36-4"</f>
        <v>36-4</v>
      </c>
      <c r="P256" s="141"/>
    </row>
    <row r="257" spans="1:16" s="231" customFormat="1">
      <c r="A257" s="221" t="s">
        <v>5</v>
      </c>
      <c r="B257" s="181" t="s">
        <v>1689</v>
      </c>
      <c r="C257" s="195"/>
      <c r="D257" s="182"/>
      <c r="E257" s="193" t="s">
        <v>1696</v>
      </c>
      <c r="F257" s="232"/>
      <c r="G257" s="197"/>
      <c r="H257" s="183" t="s">
        <v>3</v>
      </c>
      <c r="I257" s="24" t="s">
        <v>90</v>
      </c>
      <c r="J257" s="143"/>
      <c r="K257" s="143"/>
      <c r="L257" s="143"/>
      <c r="M257" s="138" t="s">
        <v>1700</v>
      </c>
      <c r="N257" s="140"/>
      <c r="O257" s="140" t="s">
        <v>1862</v>
      </c>
      <c r="P257" s="140" t="s">
        <v>93</v>
      </c>
    </row>
    <row r="258" spans="1:16" s="231" customFormat="1">
      <c r="A258" s="221" t="s">
        <v>5</v>
      </c>
      <c r="B258" s="181" t="s">
        <v>1689</v>
      </c>
      <c r="C258" s="195"/>
      <c r="D258" s="182"/>
      <c r="E258" s="193" t="s">
        <v>1736</v>
      </c>
      <c r="F258" s="232"/>
      <c r="G258" s="197"/>
      <c r="H258" s="183" t="s">
        <v>3</v>
      </c>
      <c r="I258" s="24" t="s">
        <v>90</v>
      </c>
      <c r="J258" s="143"/>
      <c r="K258" s="143"/>
      <c r="L258" s="143"/>
      <c r="M258" s="138" t="s">
        <v>1701</v>
      </c>
      <c r="N258" s="140"/>
      <c r="O258" s="140" t="s">
        <v>1862</v>
      </c>
      <c r="P258" s="140" t="s">
        <v>93</v>
      </c>
    </row>
    <row r="259" spans="1:16" s="231" customFormat="1">
      <c r="A259" s="221" t="s">
        <v>5</v>
      </c>
      <c r="B259" s="181" t="s">
        <v>1689</v>
      </c>
      <c r="C259" s="195"/>
      <c r="D259" s="182" t="s">
        <v>1710</v>
      </c>
      <c r="E259" s="193"/>
      <c r="F259" s="232"/>
      <c r="G259" s="197"/>
      <c r="H259" s="183" t="s">
        <v>3</v>
      </c>
      <c r="I259" s="24" t="s">
        <v>90</v>
      </c>
      <c r="J259" s="143"/>
      <c r="K259" s="143"/>
      <c r="L259" s="143"/>
      <c r="M259" s="138" t="s">
        <v>1711</v>
      </c>
      <c r="N259" s="140" t="str">
        <f>IF(I259&lt;&gt;"Yes","Required feature.","")</f>
        <v>Required feature.</v>
      </c>
      <c r="O259" s="140" t="s">
        <v>1863</v>
      </c>
      <c r="P259" s="140"/>
    </row>
    <row r="260" spans="1:16" s="231" customFormat="1">
      <c r="A260" s="221" t="s">
        <v>5</v>
      </c>
      <c r="B260" s="181" t="s">
        <v>1689</v>
      </c>
      <c r="C260" s="195"/>
      <c r="D260" s="182"/>
      <c r="E260" s="193" t="s">
        <v>1697</v>
      </c>
      <c r="F260" s="232"/>
      <c r="G260" s="197"/>
      <c r="H260" s="183" t="s">
        <v>4</v>
      </c>
      <c r="I260" s="24" t="s">
        <v>90</v>
      </c>
      <c r="J260" s="143"/>
      <c r="K260" s="143"/>
      <c r="L260" s="143"/>
      <c r="M260" s="138" t="s">
        <v>1702</v>
      </c>
      <c r="N260" s="140"/>
      <c r="O260" s="140" t="s">
        <v>1863</v>
      </c>
      <c r="P260" s="140" t="s">
        <v>1949</v>
      </c>
    </row>
    <row r="261" spans="1:16" s="231" customFormat="1">
      <c r="A261" s="221" t="s">
        <v>5</v>
      </c>
      <c r="B261" s="181" t="s">
        <v>1689</v>
      </c>
      <c r="C261" s="195"/>
      <c r="D261" s="182" t="s">
        <v>1712</v>
      </c>
      <c r="E261" s="193"/>
      <c r="F261" s="232"/>
      <c r="G261" s="197"/>
      <c r="H261" s="183" t="s">
        <v>3</v>
      </c>
      <c r="I261" s="24" t="s">
        <v>90</v>
      </c>
      <c r="J261" s="143"/>
      <c r="K261" s="143"/>
      <c r="L261" s="143"/>
      <c r="M261" s="138" t="s">
        <v>1713</v>
      </c>
      <c r="N261" s="140" t="str">
        <f>IF(I261&lt;&gt;"Yes","Required feature.","")</f>
        <v>Required feature.</v>
      </c>
      <c r="O261" s="140" t="s">
        <v>1864</v>
      </c>
      <c r="P261" s="140"/>
    </row>
    <row r="262" spans="1:16" s="231" customFormat="1">
      <c r="A262" s="221" t="s">
        <v>5</v>
      </c>
      <c r="B262" s="181" t="s">
        <v>1689</v>
      </c>
      <c r="C262" s="195"/>
      <c r="D262" s="182" t="s">
        <v>1714</v>
      </c>
      <c r="E262" s="193"/>
      <c r="F262" s="232"/>
      <c r="G262" s="197"/>
      <c r="H262" s="183" t="s">
        <v>3</v>
      </c>
      <c r="I262" s="24" t="s">
        <v>90</v>
      </c>
      <c r="J262" s="143"/>
      <c r="K262" s="143"/>
      <c r="L262" s="143"/>
      <c r="M262" s="138" t="s">
        <v>1715</v>
      </c>
      <c r="N262" s="140" t="str">
        <f>IF(I262&lt;&gt;"Yes","Required feature.","")</f>
        <v>Required feature.</v>
      </c>
      <c r="O262" s="140" t="s">
        <v>1865</v>
      </c>
      <c r="P262" s="140"/>
    </row>
    <row r="263" spans="1:16" s="184" customFormat="1">
      <c r="A263" s="221" t="s">
        <v>5</v>
      </c>
      <c r="B263" s="181" t="s">
        <v>1689</v>
      </c>
      <c r="C263" s="195"/>
      <c r="D263" s="182"/>
      <c r="E263" s="193" t="s">
        <v>1866</v>
      </c>
      <c r="F263" s="232"/>
      <c r="G263" s="197"/>
      <c r="H263" s="183" t="s">
        <v>4</v>
      </c>
      <c r="I263" s="24" t="s">
        <v>90</v>
      </c>
      <c r="M263" s="138" t="s">
        <v>1867</v>
      </c>
      <c r="N263" s="140" t="str">
        <f>IF(I263&lt;&gt;"Yes","Required feature.","")</f>
        <v>Required feature.</v>
      </c>
      <c r="O263" s="140" t="s">
        <v>1868</v>
      </c>
      <c r="P263" s="140"/>
    </row>
    <row r="264" spans="1:16" s="231" customFormat="1">
      <c r="A264" s="221" t="s">
        <v>5</v>
      </c>
      <c r="B264" s="181" t="s">
        <v>1689</v>
      </c>
      <c r="C264" s="195"/>
      <c r="D264" s="182" t="s">
        <v>1869</v>
      </c>
      <c r="E264" s="193"/>
      <c r="F264" s="232"/>
      <c r="G264" s="197"/>
      <c r="H264" s="183" t="s">
        <v>3</v>
      </c>
      <c r="I264" s="24" t="s">
        <v>90</v>
      </c>
      <c r="J264" s="143"/>
      <c r="K264" s="143"/>
      <c r="L264" s="143"/>
      <c r="M264" s="138" t="s">
        <v>1950</v>
      </c>
      <c r="N264" s="140" t="str">
        <f t="shared" ref="N264" si="13">IF(I264&lt;&gt;"Yes","Required feature.","")</f>
        <v>Required feature.</v>
      </c>
      <c r="O264" s="140" t="s">
        <v>1870</v>
      </c>
      <c r="P264" s="140"/>
    </row>
    <row r="265" spans="1:16" s="231" customFormat="1">
      <c r="A265" s="221" t="s">
        <v>5</v>
      </c>
      <c r="B265" s="181" t="s">
        <v>1689</v>
      </c>
      <c r="C265" s="195"/>
      <c r="D265" s="182" t="s">
        <v>1716</v>
      </c>
      <c r="E265" s="193"/>
      <c r="F265" s="232"/>
      <c r="G265" s="197"/>
      <c r="H265" s="183" t="s">
        <v>3</v>
      </c>
      <c r="I265" s="24" t="s">
        <v>90</v>
      </c>
      <c r="J265" s="143"/>
      <c r="K265" s="143"/>
      <c r="L265" s="143"/>
      <c r="M265" s="138" t="s">
        <v>1717</v>
      </c>
      <c r="N265" s="140" t="str">
        <f t="shared" ref="N265:N272" si="14">IF(I265&lt;&gt;"Yes","Required feature.","")</f>
        <v>Required feature.</v>
      </c>
      <c r="O265" s="140" t="str">
        <f>"36-5"</f>
        <v>36-5</v>
      </c>
      <c r="P265" s="140"/>
    </row>
    <row r="266" spans="1:16" s="231" customFormat="1">
      <c r="A266" s="221" t="s">
        <v>5</v>
      </c>
      <c r="B266" s="181" t="s">
        <v>1708</v>
      </c>
      <c r="C266" s="195" t="s">
        <v>1718</v>
      </c>
      <c r="D266" s="182"/>
      <c r="E266" s="193"/>
      <c r="F266" s="232"/>
      <c r="G266" s="197"/>
      <c r="H266" s="183" t="s">
        <v>3</v>
      </c>
      <c r="I266" s="24" t="s">
        <v>90</v>
      </c>
      <c r="J266" s="143"/>
      <c r="K266" s="143"/>
      <c r="L266" s="143"/>
      <c r="M266" s="138" t="s">
        <v>1719</v>
      </c>
      <c r="N266" s="140" t="str">
        <f t="shared" si="14"/>
        <v>Required feature.</v>
      </c>
      <c r="O266" s="140">
        <v>44</v>
      </c>
      <c r="P266" s="140"/>
    </row>
    <row r="267" spans="1:16" s="231" customFormat="1">
      <c r="A267" s="221" t="s">
        <v>5</v>
      </c>
      <c r="B267" s="181" t="s">
        <v>1708</v>
      </c>
      <c r="C267" s="195"/>
      <c r="D267" s="182" t="s">
        <v>1720</v>
      </c>
      <c r="E267" s="193"/>
      <c r="F267" s="232"/>
      <c r="G267" s="197"/>
      <c r="H267" s="183" t="s">
        <v>3</v>
      </c>
      <c r="I267" s="24" t="s">
        <v>90</v>
      </c>
      <c r="J267" s="143"/>
      <c r="K267" s="143"/>
      <c r="L267" s="143"/>
      <c r="M267" s="138" t="s">
        <v>1721</v>
      </c>
      <c r="N267" s="140" t="str">
        <f t="shared" si="14"/>
        <v>Required feature.</v>
      </c>
      <c r="O267" s="140" t="s">
        <v>1871</v>
      </c>
      <c r="P267" s="140"/>
    </row>
    <row r="268" spans="1:16" s="231" customFormat="1">
      <c r="A268" s="221" t="s">
        <v>5</v>
      </c>
      <c r="B268" s="181" t="s">
        <v>1708</v>
      </c>
      <c r="C268" s="195"/>
      <c r="D268" s="182"/>
      <c r="E268" s="193" t="s">
        <v>1698</v>
      </c>
      <c r="F268" s="232"/>
      <c r="G268" s="197"/>
      <c r="H268" s="183" t="s">
        <v>4</v>
      </c>
      <c r="I268" s="24" t="s">
        <v>90</v>
      </c>
      <c r="J268" s="143"/>
      <c r="K268" s="143"/>
      <c r="L268" s="143"/>
      <c r="M268" s="138" t="s">
        <v>1703</v>
      </c>
      <c r="N268" s="140"/>
      <c r="O268" s="140" t="s">
        <v>1871</v>
      </c>
      <c r="P268" s="140"/>
    </row>
    <row r="269" spans="1:16" s="231" customFormat="1">
      <c r="A269" s="221" t="s">
        <v>5</v>
      </c>
      <c r="B269" s="181" t="s">
        <v>1708</v>
      </c>
      <c r="C269" s="195"/>
      <c r="D269" s="182"/>
      <c r="E269" s="193" t="s">
        <v>1736</v>
      </c>
      <c r="F269" s="232"/>
      <c r="G269" s="197"/>
      <c r="H269" s="183" t="s">
        <v>4</v>
      </c>
      <c r="I269" s="24" t="s">
        <v>90</v>
      </c>
      <c r="J269" s="143"/>
      <c r="K269" s="143"/>
      <c r="L269" s="143"/>
      <c r="M269" s="138" t="s">
        <v>1704</v>
      </c>
      <c r="N269" s="140"/>
      <c r="O269" s="140" t="s">
        <v>1871</v>
      </c>
      <c r="P269" s="140"/>
    </row>
    <row r="270" spans="1:16" s="231" customFormat="1">
      <c r="A270" s="221" t="s">
        <v>5</v>
      </c>
      <c r="B270" s="181" t="s">
        <v>1708</v>
      </c>
      <c r="C270" s="195"/>
      <c r="D270" s="195" t="s">
        <v>1722</v>
      </c>
      <c r="E270" s="193"/>
      <c r="F270" s="232"/>
      <c r="G270" s="197"/>
      <c r="H270" s="183" t="s">
        <v>3</v>
      </c>
      <c r="I270" s="24" t="s">
        <v>90</v>
      </c>
      <c r="J270" s="143"/>
      <c r="K270" s="143"/>
      <c r="L270" s="143"/>
      <c r="M270" s="138" t="s">
        <v>1723</v>
      </c>
      <c r="N270" s="140" t="str">
        <f t="shared" si="14"/>
        <v>Required feature.</v>
      </c>
      <c r="O270" s="140" t="s">
        <v>1872</v>
      </c>
      <c r="P270" s="140"/>
    </row>
    <row r="271" spans="1:16" s="231" customFormat="1">
      <c r="A271" s="221" t="s">
        <v>5</v>
      </c>
      <c r="B271" s="181" t="s">
        <v>1708</v>
      </c>
      <c r="C271" s="195"/>
      <c r="D271" s="182"/>
      <c r="E271" s="193" t="s">
        <v>1699</v>
      </c>
      <c r="F271" s="232"/>
      <c r="G271" s="197"/>
      <c r="H271" s="183" t="s">
        <v>4</v>
      </c>
      <c r="I271" s="24" t="s">
        <v>90</v>
      </c>
      <c r="J271" s="143"/>
      <c r="K271" s="143"/>
      <c r="L271" s="143"/>
      <c r="M271" s="138" t="s">
        <v>1705</v>
      </c>
      <c r="N271" s="140"/>
      <c r="O271" s="140" t="s">
        <v>1872</v>
      </c>
      <c r="P271" s="140"/>
    </row>
    <row r="272" spans="1:16" s="231" customFormat="1">
      <c r="A272" s="221" t="s">
        <v>5</v>
      </c>
      <c r="B272" s="181" t="s">
        <v>1708</v>
      </c>
      <c r="C272" s="195"/>
      <c r="D272" s="182" t="s">
        <v>1724</v>
      </c>
      <c r="E272" s="193"/>
      <c r="F272" s="232"/>
      <c r="G272" s="197"/>
      <c r="H272" s="183" t="s">
        <v>3</v>
      </c>
      <c r="I272" s="24" t="s">
        <v>90</v>
      </c>
      <c r="J272" s="143"/>
      <c r="K272" s="143"/>
      <c r="L272" s="143"/>
      <c r="M272" s="138" t="s">
        <v>1725</v>
      </c>
      <c r="N272" s="140" t="str">
        <f t="shared" si="14"/>
        <v>Required feature.</v>
      </c>
      <c r="O272" s="140" t="s">
        <v>1873</v>
      </c>
      <c r="P272" s="140"/>
    </row>
    <row r="273" spans="1:16" s="231" customFormat="1">
      <c r="A273" s="221" t="s">
        <v>5</v>
      </c>
      <c r="B273" s="181" t="s">
        <v>1708</v>
      </c>
      <c r="C273" s="195"/>
      <c r="D273" s="182" t="s">
        <v>1726</v>
      </c>
      <c r="E273" s="193"/>
      <c r="F273" s="232"/>
      <c r="G273" s="197"/>
      <c r="H273" s="183" t="s">
        <v>3</v>
      </c>
      <c r="I273" s="24" t="s">
        <v>90</v>
      </c>
      <c r="J273" s="143"/>
      <c r="K273" s="143"/>
      <c r="L273" s="143"/>
      <c r="M273" s="138" t="s">
        <v>1727</v>
      </c>
      <c r="N273" s="140" t="str">
        <f t="shared" ref="N273:N278" si="15">IF(I273&lt;&gt;"Yes","Required feature.","")</f>
        <v>Required feature.</v>
      </c>
      <c r="O273" s="140" t="s">
        <v>1874</v>
      </c>
      <c r="P273" s="140"/>
    </row>
    <row r="274" spans="1:16" s="231" customFormat="1">
      <c r="A274" s="221" t="s">
        <v>5</v>
      </c>
      <c r="B274" s="181" t="s">
        <v>1708</v>
      </c>
      <c r="C274" s="195"/>
      <c r="D274" s="182" t="s">
        <v>1728</v>
      </c>
      <c r="E274" s="193"/>
      <c r="F274" s="232"/>
      <c r="G274" s="197"/>
      <c r="H274" s="183" t="s">
        <v>3</v>
      </c>
      <c r="I274" s="24" t="s">
        <v>90</v>
      </c>
      <c r="J274" s="143"/>
      <c r="K274" s="143"/>
      <c r="L274" s="143"/>
      <c r="M274" s="138" t="s">
        <v>1729</v>
      </c>
      <c r="N274" s="140" t="str">
        <f t="shared" si="15"/>
        <v>Required feature.</v>
      </c>
      <c r="O274" s="140" t="s">
        <v>1875</v>
      </c>
      <c r="P274" s="140"/>
    </row>
    <row r="275" spans="1:16" s="231" customFormat="1">
      <c r="A275" s="221" t="s">
        <v>5</v>
      </c>
      <c r="B275" s="181" t="s">
        <v>1708</v>
      </c>
      <c r="C275" s="195"/>
      <c r="D275" s="182" t="s">
        <v>1730</v>
      </c>
      <c r="E275" s="193"/>
      <c r="F275" s="232"/>
      <c r="G275" s="197"/>
      <c r="H275" s="183" t="s">
        <v>3</v>
      </c>
      <c r="I275" s="24" t="s">
        <v>90</v>
      </c>
      <c r="J275" s="143"/>
      <c r="K275" s="143"/>
      <c r="L275" s="143"/>
      <c r="M275" s="138" t="s">
        <v>1731</v>
      </c>
      <c r="N275" s="140" t="str">
        <f t="shared" si="15"/>
        <v>Required feature.</v>
      </c>
      <c r="O275" s="140" t="s">
        <v>1876</v>
      </c>
      <c r="P275" s="140"/>
    </row>
    <row r="276" spans="1:16" s="231" customFormat="1">
      <c r="A276" s="221" t="s">
        <v>5</v>
      </c>
      <c r="B276" s="181" t="s">
        <v>1708</v>
      </c>
      <c r="C276" s="195"/>
      <c r="D276" s="182"/>
      <c r="E276" s="193" t="s">
        <v>1699</v>
      </c>
      <c r="F276" s="232"/>
      <c r="G276" s="197"/>
      <c r="H276" s="183" t="s">
        <v>4</v>
      </c>
      <c r="I276" s="24" t="s">
        <v>90</v>
      </c>
      <c r="J276" s="143"/>
      <c r="K276" s="143"/>
      <c r="L276" s="143"/>
      <c r="M276" s="138" t="s">
        <v>1706</v>
      </c>
      <c r="N276" s="140"/>
      <c r="O276" s="140" t="s">
        <v>1876</v>
      </c>
      <c r="P276" s="140"/>
    </row>
    <row r="277" spans="1:16" s="231" customFormat="1">
      <c r="A277" s="221" t="s">
        <v>5</v>
      </c>
      <c r="B277" s="181" t="s">
        <v>1708</v>
      </c>
      <c r="C277" s="195"/>
      <c r="D277" s="182" t="s">
        <v>1732</v>
      </c>
      <c r="E277" s="193"/>
      <c r="F277" s="232"/>
      <c r="G277" s="197"/>
      <c r="H277" s="183" t="s">
        <v>3</v>
      </c>
      <c r="I277" s="24" t="s">
        <v>90</v>
      </c>
      <c r="J277" s="143"/>
      <c r="K277" s="143"/>
      <c r="L277" s="143"/>
      <c r="M277" s="138" t="s">
        <v>1733</v>
      </c>
      <c r="N277" s="140" t="str">
        <f t="shared" si="15"/>
        <v>Required feature.</v>
      </c>
      <c r="O277" s="140" t="s">
        <v>1877</v>
      </c>
      <c r="P277" s="140"/>
    </row>
    <row r="278" spans="1:16" s="231" customFormat="1">
      <c r="A278" s="221" t="s">
        <v>5</v>
      </c>
      <c r="B278" s="181" t="s">
        <v>1708</v>
      </c>
      <c r="C278" s="195"/>
      <c r="D278" s="182" t="s">
        <v>1734</v>
      </c>
      <c r="E278" s="193"/>
      <c r="F278" s="232"/>
      <c r="G278" s="197"/>
      <c r="H278" s="183" t="s">
        <v>3</v>
      </c>
      <c r="I278" s="24" t="s">
        <v>90</v>
      </c>
      <c r="J278" s="143"/>
      <c r="K278" s="143"/>
      <c r="L278" s="143"/>
      <c r="M278" s="138" t="s">
        <v>1735</v>
      </c>
      <c r="N278" s="140" t="str">
        <f t="shared" si="15"/>
        <v>Required feature.</v>
      </c>
      <c r="O278" s="140" t="s">
        <v>1878</v>
      </c>
      <c r="P278" s="140"/>
    </row>
  </sheetData>
  <sheetProtection sheet="1" objects="1" scenarios="1" sort="0" autoFilter="0"/>
  <autoFilter ref="A1:M278">
    <filterColumn colId="2" showButton="0"/>
    <filterColumn colId="3" showButton="0"/>
    <filterColumn colId="4" showButton="0"/>
    <filterColumn colId="5" showButton="0"/>
  </autoFilter>
  <mergeCells count="196">
    <mergeCell ref="E43:G43"/>
    <mergeCell ref="E44:G44"/>
    <mergeCell ref="E46:G46"/>
    <mergeCell ref="E36:G36"/>
    <mergeCell ref="E38:G38"/>
    <mergeCell ref="E37:G37"/>
    <mergeCell ref="D39:G39"/>
    <mergeCell ref="E40:G40"/>
    <mergeCell ref="E52:G52"/>
    <mergeCell ref="E41:G41"/>
    <mergeCell ref="E42:G42"/>
    <mergeCell ref="E47:G47"/>
    <mergeCell ref="E48:G48"/>
    <mergeCell ref="E49:G49"/>
    <mergeCell ref="E50:G50"/>
    <mergeCell ref="E51:G51"/>
    <mergeCell ref="E33:G33"/>
    <mergeCell ref="E34:G34"/>
    <mergeCell ref="D35:G35"/>
    <mergeCell ref="D26:G26"/>
    <mergeCell ref="E27:G27"/>
    <mergeCell ref="E28:G28"/>
    <mergeCell ref="E29:G29"/>
    <mergeCell ref="E30:G30"/>
    <mergeCell ref="E31:G31"/>
    <mergeCell ref="E32:G32"/>
    <mergeCell ref="E53:G53"/>
    <mergeCell ref="C1:G1"/>
    <mergeCell ref="C2:G2"/>
    <mergeCell ref="E4:G4"/>
    <mergeCell ref="E5:G5"/>
    <mergeCell ref="E7:G7"/>
    <mergeCell ref="D3:G3"/>
    <mergeCell ref="E8:G8"/>
    <mergeCell ref="E12:G12"/>
    <mergeCell ref="F13:G13"/>
    <mergeCell ref="E9:G9"/>
    <mergeCell ref="E6:G6"/>
    <mergeCell ref="D22:G22"/>
    <mergeCell ref="E23:G23"/>
    <mergeCell ref="E25:G25"/>
    <mergeCell ref="D24:G24"/>
    <mergeCell ref="C21:G21"/>
    <mergeCell ref="D10:G10"/>
    <mergeCell ref="D16:G16"/>
    <mergeCell ref="E17:G17"/>
    <mergeCell ref="E18:G18"/>
    <mergeCell ref="E14:G14"/>
    <mergeCell ref="F15:G15"/>
    <mergeCell ref="E11:G11"/>
    <mergeCell ref="E61:G61"/>
    <mergeCell ref="D62:G62"/>
    <mergeCell ref="E63:G63"/>
    <mergeCell ref="D54:G54"/>
    <mergeCell ref="E55:G55"/>
    <mergeCell ref="E56:G56"/>
    <mergeCell ref="E57:G57"/>
    <mergeCell ref="E58:G58"/>
    <mergeCell ref="D73:G73"/>
    <mergeCell ref="E59:G59"/>
    <mergeCell ref="E60:G60"/>
    <mergeCell ref="F72:G72"/>
    <mergeCell ref="E74:G74"/>
    <mergeCell ref="E75:G75"/>
    <mergeCell ref="F76:G76"/>
    <mergeCell ref="E77:G77"/>
    <mergeCell ref="E64:G64"/>
    <mergeCell ref="E68:G68"/>
    <mergeCell ref="E70:G70"/>
    <mergeCell ref="E71:G71"/>
    <mergeCell ref="F90:G90"/>
    <mergeCell ref="F93:G93"/>
    <mergeCell ref="E96:G96"/>
    <mergeCell ref="F97:G97"/>
    <mergeCell ref="E99:G99"/>
    <mergeCell ref="E78:G78"/>
    <mergeCell ref="F85:G85"/>
    <mergeCell ref="F86:G86"/>
    <mergeCell ref="E88:G88"/>
    <mergeCell ref="E89:G89"/>
    <mergeCell ref="F79:G79"/>
    <mergeCell ref="F80:G80"/>
    <mergeCell ref="F81:G81"/>
    <mergeCell ref="F82:G82"/>
    <mergeCell ref="F83:G83"/>
    <mergeCell ref="F84:G84"/>
    <mergeCell ref="F98:G98"/>
    <mergeCell ref="C116:G116"/>
    <mergeCell ref="D117:G117"/>
    <mergeCell ref="E118:G118"/>
    <mergeCell ref="E119:G119"/>
    <mergeCell ref="E120:G120"/>
    <mergeCell ref="F100:G100"/>
    <mergeCell ref="F101:G101"/>
    <mergeCell ref="E107:G107"/>
    <mergeCell ref="D106:G106"/>
    <mergeCell ref="F115:G115"/>
    <mergeCell ref="F108:G108"/>
    <mergeCell ref="F112:G112"/>
    <mergeCell ref="E114:G114"/>
    <mergeCell ref="D129:G129"/>
    <mergeCell ref="D130:G130"/>
    <mergeCell ref="E121:G121"/>
    <mergeCell ref="C131:G131"/>
    <mergeCell ref="D132:G132"/>
    <mergeCell ref="D123:G123"/>
    <mergeCell ref="E124:G124"/>
    <mergeCell ref="E125:G125"/>
    <mergeCell ref="E126:G126"/>
    <mergeCell ref="E127:G127"/>
    <mergeCell ref="E128:G128"/>
    <mergeCell ref="E122:G122"/>
    <mergeCell ref="F140:G140"/>
    <mergeCell ref="F141:G141"/>
    <mergeCell ref="F142:G142"/>
    <mergeCell ref="F143:G143"/>
    <mergeCell ref="F144:G144"/>
    <mergeCell ref="E133:G133"/>
    <mergeCell ref="F134:G134"/>
    <mergeCell ref="F135:G135"/>
    <mergeCell ref="E137:G137"/>
    <mergeCell ref="F138:G138"/>
    <mergeCell ref="F165:G165"/>
    <mergeCell ref="D166:G166"/>
    <mergeCell ref="E167:G167"/>
    <mergeCell ref="E168:G168"/>
    <mergeCell ref="C170:G170"/>
    <mergeCell ref="E169:G169"/>
    <mergeCell ref="F157:G157"/>
    <mergeCell ref="E158:G158"/>
    <mergeCell ref="F159:G159"/>
    <mergeCell ref="F163:G163"/>
    <mergeCell ref="F164:G164"/>
    <mergeCell ref="F151:G151"/>
    <mergeCell ref="F152:G152"/>
    <mergeCell ref="F153:G153"/>
    <mergeCell ref="D154:G154"/>
    <mergeCell ref="E156:G156"/>
    <mergeCell ref="E155:G155"/>
    <mergeCell ref="F145:G145"/>
    <mergeCell ref="D147:G147"/>
    <mergeCell ref="E148:G148"/>
    <mergeCell ref="F149:G149"/>
    <mergeCell ref="E150:G150"/>
    <mergeCell ref="E186:G186"/>
    <mergeCell ref="E187:G187"/>
    <mergeCell ref="E198:G198"/>
    <mergeCell ref="D171:G171"/>
    <mergeCell ref="D172:G172"/>
    <mergeCell ref="D173:G173"/>
    <mergeCell ref="D174:G174"/>
    <mergeCell ref="D175:G175"/>
    <mergeCell ref="D176:G176"/>
    <mergeCell ref="F189:G189"/>
    <mergeCell ref="F190:G190"/>
    <mergeCell ref="F191:G191"/>
    <mergeCell ref="E185:G185"/>
    <mergeCell ref="E184:G184"/>
    <mergeCell ref="E179:G179"/>
    <mergeCell ref="E180:G180"/>
    <mergeCell ref="E181:G181"/>
    <mergeCell ref="E182:G182"/>
    <mergeCell ref="E183:G183"/>
    <mergeCell ref="E217:G217"/>
    <mergeCell ref="F192:G192"/>
    <mergeCell ref="F193:G193"/>
    <mergeCell ref="F194:G194"/>
    <mergeCell ref="F195:G195"/>
    <mergeCell ref="F196:G196"/>
    <mergeCell ref="F197:G197"/>
    <mergeCell ref="F199:G199"/>
    <mergeCell ref="F203:G203"/>
    <mergeCell ref="E19:G19"/>
    <mergeCell ref="D20:G20"/>
    <mergeCell ref="E229:G229"/>
    <mergeCell ref="F230:G230"/>
    <mergeCell ref="F234:G234"/>
    <mergeCell ref="E188:G188"/>
    <mergeCell ref="E218:G218"/>
    <mergeCell ref="F219:G219"/>
    <mergeCell ref="F220:G220"/>
    <mergeCell ref="F221:G221"/>
    <mergeCell ref="F223:G223"/>
    <mergeCell ref="F224:G224"/>
    <mergeCell ref="F225:G225"/>
    <mergeCell ref="F226:G226"/>
    <mergeCell ref="F227:G227"/>
    <mergeCell ref="F228:G228"/>
    <mergeCell ref="E209:G209"/>
    <mergeCell ref="E210:G210"/>
    <mergeCell ref="E211:G211"/>
    <mergeCell ref="E212:G212"/>
    <mergeCell ref="E213:G213"/>
    <mergeCell ref="E214:G214"/>
    <mergeCell ref="E215:G215"/>
    <mergeCell ref="E216:G216"/>
  </mergeCells>
  <dataValidations count="3">
    <dataValidation type="list" allowBlank="1" showInputMessage="1" showErrorMessage="1" sqref="H45:H52">
      <formula1>$J$2:$J$7</formula1>
    </dataValidation>
    <dataValidation type="list" allowBlank="1" showInputMessage="1" showErrorMessage="1" sqref="H2:H44 H54:H263">
      <formula1>$K$2:$K$7</formula1>
    </dataValidation>
    <dataValidation type="list" allowBlank="1" showInputMessage="1" showErrorMessage="1" sqref="I2:I278">
      <formula1>$J$2:$J$4</formula1>
    </dataValidation>
  </dataValidations>
  <pageMargins left="0.7" right="0.7" top="0.75" bottom="0.75" header="0.3" footer="0.3"/>
  <pageSetup scale="71" fitToHeight="0" orientation="portrait"/>
  <headerFooter>
    <oddHeader>&amp;L&amp;"nokia pure text,Bold"&amp;10&amp;K99CC33Company Confidential&amp;C&amp;"arial,Bold"&amp;10&amp;K3E8430Nokia Internal Use Only</oddHeader>
    <oddFooter>&amp;L&amp;"nokia pure text,Bold"&amp;10&amp;K99CC33Company Confidential&amp;C&amp;"arial,Bold"&amp;10&amp;K3E8430Nokia Internal Use Only</oddFooter>
    <evenHeader>&amp;L&amp;"nokia pure text,Bold"&amp;10&amp;K99CC33Company Confidential&amp;C&amp;"arial,Bold"&amp;10&amp;K3E8430Nokia Internal Use Only</evenHeader>
    <evenFooter>&amp;L&amp;"nokia pure text,Bold"&amp;10&amp;K99CC33Company Confidential&amp;C&amp;"arial,Bold"&amp;10&amp;K3E8430Nokia Internal Use Only</evenFooter>
    <firstHeader>&amp;L&amp;"nokia pure text,Bold"&amp;10&amp;K99CC33Company Confidential&amp;C&amp;"arial,Bold"&amp;10&amp;K3E8430Nokia Internal Use Only</firstHeader>
    <firstFooter>&amp;L&amp;"nokia pure text,Bold"&amp;10&amp;K99CC33Company Confidential&amp;C&amp;"arial,Bold"&amp;10&amp;K3E8430Nokia Internal Use Only</firstFooter>
  </headerFooter>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N357"/>
  <sheetViews>
    <sheetView workbookViewId="0">
      <pane xSplit="1" ySplit="1" topLeftCell="K128" activePane="bottomRight" state="frozenSplit"/>
      <selection activeCell="D142" sqref="D142:G142"/>
      <selection pane="topRight" activeCell="D142" sqref="D142:G142"/>
      <selection pane="bottomLeft" activeCell="D142" sqref="D142:G142"/>
      <selection pane="bottomRight" activeCell="N28" sqref="N28"/>
    </sheetView>
  </sheetViews>
  <sheetFormatPr baseColWidth="10" defaultColWidth="9.1640625" defaultRowHeight="14" x14ac:dyDescent="0"/>
  <cols>
    <col min="1" max="1" width="53.33203125" style="144" bestFit="1" customWidth="1"/>
    <col min="2" max="2" width="16.33203125" style="145" bestFit="1" customWidth="1"/>
    <col min="3" max="3" width="11.83203125" style="146" customWidth="1"/>
    <col min="4" max="4" width="11.83203125" style="147" bestFit="1" customWidth="1"/>
    <col min="5" max="5" width="46.5" style="148" bestFit="1" customWidth="1"/>
    <col min="6" max="6" width="12.83203125" style="147" bestFit="1" customWidth="1"/>
    <col min="7" max="7" width="45.83203125" style="148" customWidth="1"/>
    <col min="8" max="8" width="12.83203125" style="147" bestFit="1" customWidth="1"/>
    <col min="9" max="9" width="33.6640625" style="148" bestFit="1" customWidth="1"/>
    <col min="10" max="10" width="12.83203125" style="147" bestFit="1" customWidth="1"/>
    <col min="11" max="11" width="33.83203125" style="148" bestFit="1" customWidth="1"/>
    <col min="12" max="12" width="51.5" style="149" bestFit="1" customWidth="1"/>
    <col min="13" max="13" width="19.6640625" style="144" customWidth="1"/>
    <col min="14" max="14" width="15.6640625" style="144" bestFit="1" customWidth="1"/>
    <col min="15" max="16384" width="9.1640625" style="144"/>
  </cols>
  <sheetData>
    <row r="1" spans="1:14" s="158" customFormat="1" ht="29" thickBot="1">
      <c r="A1" s="198" t="s">
        <v>901</v>
      </c>
      <c r="B1" s="199" t="s">
        <v>902</v>
      </c>
      <c r="C1" s="200" t="s">
        <v>1323</v>
      </c>
      <c r="D1" s="200" t="s">
        <v>93</v>
      </c>
      <c r="E1" s="200" t="s">
        <v>903</v>
      </c>
      <c r="F1" s="200" t="s">
        <v>904</v>
      </c>
      <c r="G1" s="200" t="s">
        <v>905</v>
      </c>
      <c r="H1" s="200" t="s">
        <v>904</v>
      </c>
      <c r="I1" s="200" t="s">
        <v>906</v>
      </c>
      <c r="J1" s="200" t="s">
        <v>904</v>
      </c>
      <c r="K1" s="200" t="s">
        <v>907</v>
      </c>
      <c r="L1" s="201" t="s">
        <v>1123</v>
      </c>
      <c r="M1" s="238" t="s">
        <v>1393</v>
      </c>
      <c r="N1" s="239" t="s">
        <v>1394</v>
      </c>
    </row>
    <row r="2" spans="1:14" s="154" customFormat="1" ht="15" thickTop="1">
      <c r="A2" s="202" t="s">
        <v>908</v>
      </c>
      <c r="B2" s="203">
        <v>1.1000000000000001</v>
      </c>
      <c r="C2" s="204" t="str">
        <f>IF('Server PICS'!I$3="Yes","Yes","No")</f>
        <v>No</v>
      </c>
      <c r="D2" s="205" t="s">
        <v>3</v>
      </c>
      <c r="E2" s="206" t="s">
        <v>621</v>
      </c>
      <c r="F2" s="205"/>
      <c r="G2" s="206" t="s">
        <v>1324</v>
      </c>
      <c r="H2" s="205"/>
      <c r="I2" s="206" t="s">
        <v>1324</v>
      </c>
      <c r="J2" s="205"/>
      <c r="K2" s="206"/>
      <c r="L2" s="207"/>
      <c r="M2" s="240" t="s">
        <v>1395</v>
      </c>
      <c r="N2" s="240" t="s">
        <v>1396</v>
      </c>
    </row>
    <row r="3" spans="1:14" s="155" customFormat="1">
      <c r="A3" s="208" t="s">
        <v>909</v>
      </c>
      <c r="B3" s="209">
        <v>1.1000000000000001</v>
      </c>
      <c r="C3" s="210" t="str">
        <f>IF('Server PICS'!I$3="Yes","Yes","No")</f>
        <v>No</v>
      </c>
      <c r="D3" s="140" t="s">
        <v>3</v>
      </c>
      <c r="E3" s="211" t="s">
        <v>621</v>
      </c>
      <c r="F3" s="140"/>
      <c r="G3" s="211" t="s">
        <v>1324</v>
      </c>
      <c r="H3" s="140"/>
      <c r="I3" s="211" t="s">
        <v>1324</v>
      </c>
      <c r="J3" s="140"/>
      <c r="K3" s="211"/>
      <c r="L3" s="212"/>
      <c r="M3" s="241" t="s">
        <v>1395</v>
      </c>
      <c r="N3" s="241" t="s">
        <v>1396</v>
      </c>
    </row>
    <row r="4" spans="1:14" s="155" customFormat="1">
      <c r="A4" s="208" t="s">
        <v>910</v>
      </c>
      <c r="B4" s="209">
        <v>1.1000000000000001</v>
      </c>
      <c r="C4" s="210" t="str">
        <f>IF('Server PICS'!I$4="Yes","Yes","No")</f>
        <v>No</v>
      </c>
      <c r="D4" s="140" t="s">
        <v>3</v>
      </c>
      <c r="E4" s="211" t="s">
        <v>622</v>
      </c>
      <c r="F4" s="140"/>
      <c r="G4" s="211" t="s">
        <v>1324</v>
      </c>
      <c r="H4" s="140"/>
      <c r="I4" s="211" t="s">
        <v>1324</v>
      </c>
      <c r="J4" s="140"/>
      <c r="K4" s="211"/>
      <c r="L4" s="212"/>
      <c r="M4" s="241" t="s">
        <v>1395</v>
      </c>
      <c r="N4" s="241" t="s">
        <v>1396</v>
      </c>
    </row>
    <row r="5" spans="1:14" s="155" customFormat="1">
      <c r="A5" s="208" t="s">
        <v>911</v>
      </c>
      <c r="B5" s="209">
        <v>1.1000000000000001</v>
      </c>
      <c r="C5" s="210" t="str">
        <f>IF('Server PICS'!I$5="Yes","Yes","No")</f>
        <v>No</v>
      </c>
      <c r="D5" s="140" t="s">
        <v>3</v>
      </c>
      <c r="E5" s="211" t="s">
        <v>623</v>
      </c>
      <c r="F5" s="140"/>
      <c r="G5" s="211" t="s">
        <v>1324</v>
      </c>
      <c r="H5" s="140"/>
      <c r="I5" s="211" t="s">
        <v>1324</v>
      </c>
      <c r="J5" s="140"/>
      <c r="K5" s="211"/>
      <c r="L5" s="212"/>
      <c r="M5" s="241" t="s">
        <v>1395</v>
      </c>
      <c r="N5" s="241" t="s">
        <v>1396</v>
      </c>
    </row>
    <row r="6" spans="1:14" s="155" customFormat="1">
      <c r="A6" s="208" t="s">
        <v>913</v>
      </c>
      <c r="B6" s="209">
        <v>1.1000000000000001</v>
      </c>
      <c r="C6" s="210" t="str">
        <f>IF('Server PICS'!I$7="Yes","Yes","No")</f>
        <v>No</v>
      </c>
      <c r="D6" s="140" t="s">
        <v>71</v>
      </c>
      <c r="E6" s="211" t="s">
        <v>313</v>
      </c>
      <c r="F6" s="140"/>
      <c r="G6" s="211" t="s">
        <v>1324</v>
      </c>
      <c r="H6" s="140"/>
      <c r="I6" s="211" t="s">
        <v>1324</v>
      </c>
      <c r="J6" s="140"/>
      <c r="K6" s="211"/>
      <c r="L6" s="212"/>
      <c r="M6" s="241" t="s">
        <v>1395</v>
      </c>
      <c r="N6" s="241" t="s">
        <v>1396</v>
      </c>
    </row>
    <row r="7" spans="1:14" s="155" customFormat="1">
      <c r="A7" s="208" t="s">
        <v>914</v>
      </c>
      <c r="B7" s="209" t="s">
        <v>912</v>
      </c>
      <c r="C7" s="210" t="str">
        <f>IF('Server PICS'!I$8="Yes","Yes","No")</f>
        <v>No</v>
      </c>
      <c r="D7" s="140" t="s">
        <v>3</v>
      </c>
      <c r="E7" s="211" t="s">
        <v>487</v>
      </c>
      <c r="F7" s="140"/>
      <c r="G7" s="211" t="s">
        <v>1324</v>
      </c>
      <c r="H7" s="140"/>
      <c r="I7" s="211" t="s">
        <v>1324</v>
      </c>
      <c r="J7" s="140"/>
      <c r="K7" s="211"/>
      <c r="L7" s="212"/>
      <c r="M7" s="241" t="s">
        <v>1395</v>
      </c>
      <c r="N7" s="241" t="s">
        <v>1396</v>
      </c>
    </row>
    <row r="8" spans="1:14" s="155" customFormat="1">
      <c r="A8" s="208" t="s">
        <v>915</v>
      </c>
      <c r="B8" s="209" t="s">
        <v>1991</v>
      </c>
      <c r="C8" s="210" t="str">
        <f>IF('Server PICS'!I$9="Yes","Yes","No")</f>
        <v>No</v>
      </c>
      <c r="D8" s="140" t="s">
        <v>3</v>
      </c>
      <c r="E8" s="211" t="s">
        <v>624</v>
      </c>
      <c r="F8" s="140"/>
      <c r="G8" s="211" t="s">
        <v>1324</v>
      </c>
      <c r="H8" s="140"/>
      <c r="I8" s="211" t="s">
        <v>1324</v>
      </c>
      <c r="J8" s="140"/>
      <c r="K8" s="211"/>
      <c r="L8" s="212"/>
      <c r="M8" s="241" t="s">
        <v>1395</v>
      </c>
      <c r="N8" s="241" t="s">
        <v>1397</v>
      </c>
    </row>
    <row r="9" spans="1:14" s="155" customFormat="1">
      <c r="A9" s="208" t="s">
        <v>916</v>
      </c>
      <c r="B9" s="209" t="s">
        <v>1991</v>
      </c>
      <c r="C9" s="210" t="str">
        <f>IF('Server PICS'!I$9="Yes","Yes","No")</f>
        <v>No</v>
      </c>
      <c r="D9" s="140" t="s">
        <v>3</v>
      </c>
      <c r="E9" s="211" t="s">
        <v>624</v>
      </c>
      <c r="F9" s="140"/>
      <c r="G9" s="211" t="s">
        <v>1324</v>
      </c>
      <c r="H9" s="140"/>
      <c r="I9" s="211" t="s">
        <v>1324</v>
      </c>
      <c r="J9" s="140"/>
      <c r="K9" s="211"/>
      <c r="L9" s="212"/>
      <c r="M9" s="241" t="s">
        <v>1395</v>
      </c>
      <c r="N9" s="241" t="s">
        <v>1397</v>
      </c>
    </row>
    <row r="10" spans="1:14" s="155" customFormat="1">
      <c r="A10" s="208" t="s">
        <v>917</v>
      </c>
      <c r="B10" s="209" t="s">
        <v>1991</v>
      </c>
      <c r="C10" s="210" t="str">
        <f>IF('Server PICS'!I$9="Yes","Yes","No")</f>
        <v>No</v>
      </c>
      <c r="D10" s="140" t="s">
        <v>3</v>
      </c>
      <c r="E10" s="211" t="s">
        <v>624</v>
      </c>
      <c r="F10" s="140"/>
      <c r="G10" s="211" t="s">
        <v>1324</v>
      </c>
      <c r="H10" s="140"/>
      <c r="I10" s="211" t="s">
        <v>1324</v>
      </c>
      <c r="J10" s="140"/>
      <c r="K10" s="211"/>
      <c r="L10" s="212"/>
      <c r="M10" s="241" t="s">
        <v>1395</v>
      </c>
      <c r="N10" s="241" t="s">
        <v>1397</v>
      </c>
    </row>
    <row r="11" spans="1:14" s="155" customFormat="1">
      <c r="A11" s="208" t="s">
        <v>1965</v>
      </c>
      <c r="B11" s="209" t="s">
        <v>1991</v>
      </c>
      <c r="C11" s="210" t="str">
        <f>IF('Server PICS'!I$9="Yes","Yes","No")</f>
        <v>No</v>
      </c>
      <c r="D11" s="140" t="s">
        <v>3</v>
      </c>
      <c r="E11" s="211" t="s">
        <v>624</v>
      </c>
      <c r="F11" s="140"/>
      <c r="G11" s="211" t="s">
        <v>1324</v>
      </c>
      <c r="H11" s="140"/>
      <c r="I11" s="211" t="s">
        <v>1324</v>
      </c>
      <c r="J11" s="140"/>
      <c r="K11" s="211"/>
      <c r="L11" s="212"/>
      <c r="M11" s="241" t="s">
        <v>1395</v>
      </c>
      <c r="N11" s="241" t="s">
        <v>1397</v>
      </c>
    </row>
    <row r="12" spans="1:14" s="155" customFormat="1">
      <c r="A12" s="208" t="s">
        <v>918</v>
      </c>
      <c r="B12" s="209" t="s">
        <v>1991</v>
      </c>
      <c r="C12" s="210" t="str">
        <f>IF(AND('Server PICS'!I$10="Yes",'Server PICS'!I$13="Yes"),"Yes","No")</f>
        <v>No</v>
      </c>
      <c r="D12" s="140" t="s">
        <v>71</v>
      </c>
      <c r="E12" s="211" t="s">
        <v>314</v>
      </c>
      <c r="F12" s="140" t="s">
        <v>1124</v>
      </c>
      <c r="G12" s="211" t="s">
        <v>316</v>
      </c>
      <c r="H12" s="140"/>
      <c r="I12" s="211" t="s">
        <v>1324</v>
      </c>
      <c r="J12" s="140"/>
      <c r="K12" s="211"/>
      <c r="L12" s="212"/>
      <c r="M12" s="241" t="s">
        <v>1395</v>
      </c>
      <c r="N12" s="241" t="s">
        <v>1397</v>
      </c>
    </row>
    <row r="13" spans="1:14" s="155" customFormat="1">
      <c r="A13" s="208" t="s">
        <v>919</v>
      </c>
      <c r="B13" s="209" t="s">
        <v>1991</v>
      </c>
      <c r="C13" s="210" t="str">
        <f>IF(AND('Server PICS'!I$10="Yes",'Server PICS'!I$13="Yes"),"Yes","No")</f>
        <v>No</v>
      </c>
      <c r="D13" s="140" t="s">
        <v>71</v>
      </c>
      <c r="E13" s="211" t="s">
        <v>314</v>
      </c>
      <c r="F13" s="140" t="s">
        <v>1124</v>
      </c>
      <c r="G13" s="211" t="s">
        <v>316</v>
      </c>
      <c r="H13" s="140"/>
      <c r="I13" s="211" t="s">
        <v>1324</v>
      </c>
      <c r="J13" s="140"/>
      <c r="K13" s="211"/>
      <c r="L13" s="212"/>
      <c r="M13" s="241" t="s">
        <v>1395</v>
      </c>
      <c r="N13" s="241" t="s">
        <v>1397</v>
      </c>
    </row>
    <row r="14" spans="1:14" s="155" customFormat="1">
      <c r="A14" s="208" t="s">
        <v>920</v>
      </c>
      <c r="B14" s="209" t="s">
        <v>1991</v>
      </c>
      <c r="C14" s="210" t="str">
        <f>IF(AND('Server PICS'!I$10="Yes",'Server PICS'!I$13="Yes"),"Yes","No")</f>
        <v>No</v>
      </c>
      <c r="D14" s="140" t="s">
        <v>71</v>
      </c>
      <c r="E14" s="211" t="s">
        <v>314</v>
      </c>
      <c r="F14" s="140" t="s">
        <v>1124</v>
      </c>
      <c r="G14" s="211" t="s">
        <v>316</v>
      </c>
      <c r="H14" s="140"/>
      <c r="I14" s="211" t="s">
        <v>1324</v>
      </c>
      <c r="J14" s="140"/>
      <c r="K14" s="211"/>
      <c r="L14" s="212"/>
      <c r="M14" s="241" t="s">
        <v>1395</v>
      </c>
      <c r="N14" s="241" t="s">
        <v>1397</v>
      </c>
    </row>
    <row r="15" spans="1:14" s="155" customFormat="1">
      <c r="A15" s="208" t="s">
        <v>1436</v>
      </c>
      <c r="B15" s="209" t="s">
        <v>1991</v>
      </c>
      <c r="C15" s="210" t="str">
        <f>IF(AND('Server PICS'!I$10="Yes",'Server PICS'!I$15="Yes"),"Yes","No")</f>
        <v>No</v>
      </c>
      <c r="D15" s="140" t="s">
        <v>71</v>
      </c>
      <c r="E15" s="211" t="s">
        <v>314</v>
      </c>
      <c r="F15" s="140" t="s">
        <v>1124</v>
      </c>
      <c r="G15" s="211" t="s">
        <v>385</v>
      </c>
      <c r="H15" s="140"/>
      <c r="I15" s="211" t="s">
        <v>1324</v>
      </c>
      <c r="J15" s="140"/>
      <c r="K15" s="211"/>
      <c r="L15" s="212"/>
      <c r="M15" s="241" t="s">
        <v>1395</v>
      </c>
      <c r="N15" s="241" t="s">
        <v>1397</v>
      </c>
    </row>
    <row r="16" spans="1:14" s="155" customFormat="1">
      <c r="A16" s="208" t="s">
        <v>1966</v>
      </c>
      <c r="B16" s="209" t="s">
        <v>1991</v>
      </c>
      <c r="C16" s="210" t="str">
        <f>IF(AND('Server PICS'!I$10="Yes",'Server PICS'!I$13="Yes"),"Yes","No")</f>
        <v>No</v>
      </c>
      <c r="D16" s="140" t="s">
        <v>71</v>
      </c>
      <c r="E16" s="211" t="s">
        <v>314</v>
      </c>
      <c r="F16" s="140" t="s">
        <v>1124</v>
      </c>
      <c r="G16" s="211" t="s">
        <v>316</v>
      </c>
      <c r="H16" s="140"/>
      <c r="I16" s="211" t="s">
        <v>1324</v>
      </c>
      <c r="J16" s="140"/>
      <c r="K16" s="211"/>
      <c r="L16" s="212"/>
      <c r="M16" s="241" t="s">
        <v>1395</v>
      </c>
      <c r="N16" s="241" t="s">
        <v>1397</v>
      </c>
    </row>
    <row r="17" spans="1:14" s="155" customFormat="1">
      <c r="A17" s="208" t="s">
        <v>921</v>
      </c>
      <c r="B17" s="209">
        <v>1.1000000000000001</v>
      </c>
      <c r="C17" s="210" t="str">
        <f>IF('Server PICS'!I$2="Yes","Yes","No")</f>
        <v>No</v>
      </c>
      <c r="D17" s="140" t="s">
        <v>3</v>
      </c>
      <c r="E17" s="211" t="s">
        <v>620</v>
      </c>
      <c r="F17" s="140"/>
      <c r="G17" s="211" t="s">
        <v>1324</v>
      </c>
      <c r="H17" s="140"/>
      <c r="I17" s="211" t="s">
        <v>1324</v>
      </c>
      <c r="J17" s="140"/>
      <c r="K17" s="211"/>
      <c r="L17" s="212"/>
      <c r="M17" s="241" t="s">
        <v>1395</v>
      </c>
      <c r="N17" s="241" t="s">
        <v>6</v>
      </c>
    </row>
    <row r="18" spans="1:14" s="155" customFormat="1">
      <c r="A18" s="208" t="s">
        <v>922</v>
      </c>
      <c r="B18" s="209">
        <v>1.1000000000000001</v>
      </c>
      <c r="C18" s="210" t="str">
        <f>IF('Server PICS'!I$54="Yes","Yes","No")</f>
        <v>No</v>
      </c>
      <c r="D18" s="140" t="s">
        <v>3</v>
      </c>
      <c r="E18" s="211" t="s">
        <v>643</v>
      </c>
      <c r="F18" s="140"/>
      <c r="G18" s="211" t="s">
        <v>1324</v>
      </c>
      <c r="H18" s="140"/>
      <c r="I18" s="211" t="s">
        <v>1324</v>
      </c>
      <c r="J18" s="140"/>
      <c r="K18" s="211"/>
      <c r="L18" s="212"/>
      <c r="M18" s="241" t="s">
        <v>2</v>
      </c>
      <c r="N18" s="241" t="s">
        <v>1399</v>
      </c>
    </row>
    <row r="19" spans="1:14" s="155" customFormat="1">
      <c r="A19" s="208" t="s">
        <v>923</v>
      </c>
      <c r="B19" s="209">
        <v>1.1000000000000001</v>
      </c>
      <c r="C19" s="210" t="str">
        <f>IF('Server PICS'!I$54="Yes","Yes","No")</f>
        <v>No</v>
      </c>
      <c r="D19" s="140" t="s">
        <v>3</v>
      </c>
      <c r="E19" s="211" t="s">
        <v>643</v>
      </c>
      <c r="F19" s="140"/>
      <c r="G19" s="211" t="s">
        <v>1324</v>
      </c>
      <c r="H19" s="140"/>
      <c r="I19" s="211" t="s">
        <v>1324</v>
      </c>
      <c r="J19" s="140"/>
      <c r="K19" s="211"/>
      <c r="L19" s="212"/>
      <c r="M19" s="241" t="s">
        <v>2</v>
      </c>
      <c r="N19" s="241" t="s">
        <v>1399</v>
      </c>
    </row>
    <row r="20" spans="1:14" s="155" customFormat="1">
      <c r="A20" s="208" t="s">
        <v>924</v>
      </c>
      <c r="B20" s="209">
        <v>1.1000000000000001</v>
      </c>
      <c r="C20" s="210" t="str">
        <f>IF('Server PICS'!I$55="Yes","Yes","No")</f>
        <v>No</v>
      </c>
      <c r="D20" s="140" t="s">
        <v>3</v>
      </c>
      <c r="E20" s="211" t="s">
        <v>644</v>
      </c>
      <c r="F20" s="140"/>
      <c r="G20" s="211" t="s">
        <v>1324</v>
      </c>
      <c r="H20" s="140"/>
      <c r="I20" s="211" t="s">
        <v>1324</v>
      </c>
      <c r="J20" s="140"/>
      <c r="K20" s="211"/>
      <c r="L20" s="212"/>
      <c r="M20" s="241" t="s">
        <v>2</v>
      </c>
      <c r="N20" s="241" t="s">
        <v>1399</v>
      </c>
    </row>
    <row r="21" spans="1:14" s="155" customFormat="1">
      <c r="A21" s="208" t="s">
        <v>925</v>
      </c>
      <c r="B21" s="209">
        <v>1.1000000000000001</v>
      </c>
      <c r="C21" s="210" t="str">
        <f>IF('Server PICS'!I$56="Yes","Yes","No")</f>
        <v>No</v>
      </c>
      <c r="D21" s="140" t="s">
        <v>3</v>
      </c>
      <c r="E21" s="211" t="s">
        <v>648</v>
      </c>
      <c r="F21" s="140"/>
      <c r="G21" s="211" t="s">
        <v>1324</v>
      </c>
      <c r="H21" s="140"/>
      <c r="I21" s="211" t="s">
        <v>1324</v>
      </c>
      <c r="J21" s="140"/>
      <c r="K21" s="211"/>
      <c r="L21" s="212"/>
      <c r="M21" s="241" t="s">
        <v>2</v>
      </c>
      <c r="N21" s="241" t="s">
        <v>1399</v>
      </c>
    </row>
    <row r="22" spans="1:14" s="155" customFormat="1">
      <c r="A22" s="208" t="s">
        <v>926</v>
      </c>
      <c r="B22" s="209">
        <v>1.1000000000000001</v>
      </c>
      <c r="C22" s="210" t="str">
        <f>IF('Server PICS'!I$56="Yes","Yes","No")</f>
        <v>No</v>
      </c>
      <c r="D22" s="140" t="s">
        <v>3</v>
      </c>
      <c r="E22" s="211" t="s">
        <v>648</v>
      </c>
      <c r="F22" s="140"/>
      <c r="G22" s="211" t="s">
        <v>1324</v>
      </c>
      <c r="H22" s="140"/>
      <c r="I22" s="211" t="s">
        <v>1324</v>
      </c>
      <c r="J22" s="140"/>
      <c r="K22" s="211"/>
      <c r="L22" s="212"/>
      <c r="M22" s="241" t="s">
        <v>2</v>
      </c>
      <c r="N22" s="241" t="s">
        <v>1399</v>
      </c>
    </row>
    <row r="23" spans="1:14" s="155" customFormat="1">
      <c r="A23" s="208" t="s">
        <v>927</v>
      </c>
      <c r="B23" s="209" t="s">
        <v>1518</v>
      </c>
      <c r="C23" s="210" t="str">
        <f>IF('Server PICS'!I$22="Yes","Yes","No")</f>
        <v>No</v>
      </c>
      <c r="D23" s="140" t="s">
        <v>3</v>
      </c>
      <c r="E23" s="211" t="s">
        <v>629</v>
      </c>
      <c r="F23" s="140"/>
      <c r="G23" s="211" t="s">
        <v>1324</v>
      </c>
      <c r="H23" s="140"/>
      <c r="I23" s="211" t="s">
        <v>1324</v>
      </c>
      <c r="J23" s="140"/>
      <c r="K23" s="211"/>
      <c r="L23" s="212"/>
      <c r="M23" s="241" t="s">
        <v>2</v>
      </c>
      <c r="N23" s="241" t="s">
        <v>1399</v>
      </c>
    </row>
    <row r="24" spans="1:14" s="155" customFormat="1">
      <c r="A24" s="208" t="s">
        <v>928</v>
      </c>
      <c r="B24" s="209" t="s">
        <v>929</v>
      </c>
      <c r="C24" s="210" t="str">
        <f>IF('Server PICS'!I$56="Yes","Yes","No")</f>
        <v>No</v>
      </c>
      <c r="D24" s="140" t="s">
        <v>3</v>
      </c>
      <c r="E24" s="211" t="s">
        <v>648</v>
      </c>
      <c r="F24" s="140"/>
      <c r="G24" s="211" t="s">
        <v>1324</v>
      </c>
      <c r="H24" s="140"/>
      <c r="I24" s="211" t="s">
        <v>1324</v>
      </c>
      <c r="J24" s="140"/>
      <c r="K24" s="211"/>
      <c r="L24" s="212"/>
      <c r="M24" s="241" t="s">
        <v>2</v>
      </c>
      <c r="N24" s="241" t="s">
        <v>1399</v>
      </c>
    </row>
    <row r="25" spans="1:14" s="155" customFormat="1">
      <c r="A25" s="208" t="s">
        <v>1360</v>
      </c>
      <c r="B25" s="209" t="s">
        <v>929</v>
      </c>
      <c r="C25" s="210" t="str">
        <f>IF('Server PICS'!I$54="Yes","Yes","No")</f>
        <v>No</v>
      </c>
      <c r="D25" s="140" t="s">
        <v>3</v>
      </c>
      <c r="E25" s="211" t="s">
        <v>643</v>
      </c>
      <c r="F25" s="140"/>
      <c r="G25" s="211" t="s">
        <v>1324</v>
      </c>
      <c r="H25" s="140"/>
      <c r="I25" s="211" t="s">
        <v>1324</v>
      </c>
      <c r="J25" s="140"/>
      <c r="K25" s="211"/>
      <c r="L25" s="212"/>
      <c r="M25" s="241" t="s">
        <v>2</v>
      </c>
      <c r="N25" s="241" t="s">
        <v>1399</v>
      </c>
    </row>
    <row r="26" spans="1:14" s="155" customFormat="1">
      <c r="A26" s="208" t="s">
        <v>930</v>
      </c>
      <c r="B26" s="209">
        <v>1.1000000000000001</v>
      </c>
      <c r="C26" s="210" t="str">
        <f>IF(AND('Server PICS'!I$57="Yes",'Server PICS'!I$55="Yes"),"Yes","No")</f>
        <v>No</v>
      </c>
      <c r="D26" s="140" t="s">
        <v>3</v>
      </c>
      <c r="E26" s="211" t="s">
        <v>649</v>
      </c>
      <c r="F26" s="140" t="s">
        <v>1124</v>
      </c>
      <c r="G26" s="211" t="s">
        <v>644</v>
      </c>
      <c r="H26" s="140"/>
      <c r="I26" s="211" t="s">
        <v>1324</v>
      </c>
      <c r="J26" s="140"/>
      <c r="K26" s="211"/>
      <c r="L26" s="212"/>
      <c r="M26" s="241" t="s">
        <v>2</v>
      </c>
      <c r="N26" s="241" t="s">
        <v>114</v>
      </c>
    </row>
    <row r="27" spans="1:14" s="155" customFormat="1">
      <c r="A27" s="208" t="s">
        <v>931</v>
      </c>
      <c r="B27" s="209">
        <v>1.1000000000000001</v>
      </c>
      <c r="C27" s="210" t="str">
        <f>IF(AND('Server PICS'!I$59="Yes",'Server PICS'!I$58="Yes"),"Yes","No")</f>
        <v>No</v>
      </c>
      <c r="D27" s="140" t="s">
        <v>3</v>
      </c>
      <c r="E27" s="211" t="s">
        <v>645</v>
      </c>
      <c r="F27" s="140" t="s">
        <v>1124</v>
      </c>
      <c r="G27" s="211" t="s">
        <v>647</v>
      </c>
      <c r="H27" s="140"/>
      <c r="I27" s="211" t="s">
        <v>1324</v>
      </c>
      <c r="J27" s="140"/>
      <c r="K27" s="211"/>
      <c r="L27" s="212"/>
      <c r="M27" s="241" t="s">
        <v>2</v>
      </c>
      <c r="N27" s="241" t="s">
        <v>114</v>
      </c>
    </row>
    <row r="28" spans="1:14" s="155" customFormat="1">
      <c r="A28" s="208" t="s">
        <v>932</v>
      </c>
      <c r="B28" s="209" t="s">
        <v>1518</v>
      </c>
      <c r="C28" s="210" t="str">
        <f>IF(AND('Server PICS'!I$60="Yes",'Server PICS'!I$58="Yes"),"Yes","No")</f>
        <v>No</v>
      </c>
      <c r="D28" s="140" t="s">
        <v>3</v>
      </c>
      <c r="E28" s="211" t="s">
        <v>646</v>
      </c>
      <c r="F28" s="140" t="s">
        <v>1124</v>
      </c>
      <c r="G28" s="211" t="s">
        <v>647</v>
      </c>
      <c r="H28" s="140"/>
      <c r="I28" s="211" t="s">
        <v>1324</v>
      </c>
      <c r="J28" s="140"/>
      <c r="K28" s="211"/>
      <c r="L28" s="212"/>
      <c r="M28" s="241" t="s">
        <v>2</v>
      </c>
      <c r="N28" s="241" t="s">
        <v>114</v>
      </c>
    </row>
    <row r="29" spans="1:14" s="155" customFormat="1">
      <c r="A29" s="208" t="s">
        <v>933</v>
      </c>
      <c r="B29" s="209" t="s">
        <v>1518</v>
      </c>
      <c r="C29" s="210" t="str">
        <f>IF(AND('Server PICS'!I$60="Yes",'Server PICS'!I$58="Yes"),"Yes","No")</f>
        <v>No</v>
      </c>
      <c r="D29" s="140" t="s">
        <v>3</v>
      </c>
      <c r="E29" s="211" t="s">
        <v>646</v>
      </c>
      <c r="F29" s="140" t="s">
        <v>1124</v>
      </c>
      <c r="G29" s="211" t="s">
        <v>647</v>
      </c>
      <c r="H29" s="140"/>
      <c r="I29" s="211" t="s">
        <v>1324</v>
      </c>
      <c r="J29" s="140"/>
      <c r="K29" s="211"/>
      <c r="L29" s="212"/>
      <c r="M29" s="241" t="s">
        <v>2</v>
      </c>
      <c r="N29" s="241" t="s">
        <v>114</v>
      </c>
    </row>
    <row r="30" spans="1:14" s="155" customFormat="1">
      <c r="A30" s="208" t="s">
        <v>934</v>
      </c>
      <c r="B30" s="209" t="s">
        <v>929</v>
      </c>
      <c r="C30" s="210" t="str">
        <f>IF('Server PICS'!I$36="Yes","Yes","No")</f>
        <v>No</v>
      </c>
      <c r="D30" s="140" t="s">
        <v>3</v>
      </c>
      <c r="E30" s="211" t="s">
        <v>637</v>
      </c>
      <c r="F30" s="140"/>
      <c r="G30" s="211" t="s">
        <v>1324</v>
      </c>
      <c r="H30" s="140"/>
      <c r="I30" s="211" t="s">
        <v>1324</v>
      </c>
      <c r="J30" s="140"/>
      <c r="K30" s="211"/>
      <c r="L30" s="212"/>
      <c r="M30" s="241" t="s">
        <v>2</v>
      </c>
      <c r="N30" s="241" t="s">
        <v>1402</v>
      </c>
    </row>
    <row r="31" spans="1:14" s="155" customFormat="1">
      <c r="A31" s="208" t="s">
        <v>935</v>
      </c>
      <c r="B31" s="209" t="s">
        <v>929</v>
      </c>
      <c r="C31" s="210" t="str">
        <f>IF('Server PICS'!I$36="Yes","Yes","No")</f>
        <v>No</v>
      </c>
      <c r="D31" s="140" t="s">
        <v>3</v>
      </c>
      <c r="E31" s="211" t="s">
        <v>638</v>
      </c>
      <c r="F31" s="140"/>
      <c r="G31" s="211" t="s">
        <v>1324</v>
      </c>
      <c r="H31" s="140"/>
      <c r="I31" s="211" t="s">
        <v>1324</v>
      </c>
      <c r="J31" s="140"/>
      <c r="K31" s="211"/>
      <c r="L31" s="212"/>
      <c r="M31" s="241" t="s">
        <v>2</v>
      </c>
      <c r="N31" s="241" t="s">
        <v>1402</v>
      </c>
    </row>
    <row r="32" spans="1:14" s="155" customFormat="1">
      <c r="A32" s="208" t="s">
        <v>936</v>
      </c>
      <c r="B32" s="209" t="s">
        <v>929</v>
      </c>
      <c r="C32" s="210" t="str">
        <f>IF('Server PICS'!I$38="Yes","Yes","No")</f>
        <v>No</v>
      </c>
      <c r="D32" s="140" t="s">
        <v>3</v>
      </c>
      <c r="E32" s="211" t="s">
        <v>238</v>
      </c>
      <c r="F32" s="140"/>
      <c r="G32" s="211" t="s">
        <v>1324</v>
      </c>
      <c r="H32" s="140"/>
      <c r="I32" s="211" t="s">
        <v>1324</v>
      </c>
      <c r="J32" s="140"/>
      <c r="K32" s="211"/>
      <c r="L32" s="212"/>
      <c r="M32" s="241" t="s">
        <v>2</v>
      </c>
      <c r="N32" s="241" t="s">
        <v>1402</v>
      </c>
    </row>
    <row r="33" spans="1:14" s="155" customFormat="1">
      <c r="A33" s="208" t="s">
        <v>937</v>
      </c>
      <c r="B33" s="209">
        <v>1.1000000000000001</v>
      </c>
      <c r="C33" s="210" t="str">
        <f>IF('Server PICS'!I$44="Yes","Yes","No")</f>
        <v>No</v>
      </c>
      <c r="D33" s="140" t="s">
        <v>3</v>
      </c>
      <c r="E33" s="211" t="s">
        <v>641</v>
      </c>
      <c r="F33" s="140"/>
      <c r="G33" s="211" t="s">
        <v>1324</v>
      </c>
      <c r="H33" s="140"/>
      <c r="I33" s="211" t="s">
        <v>1324</v>
      </c>
      <c r="J33" s="140"/>
      <c r="K33" s="211"/>
      <c r="L33" s="212"/>
      <c r="M33" s="241" t="s">
        <v>2</v>
      </c>
      <c r="N33" s="241" t="s">
        <v>1402</v>
      </c>
    </row>
    <row r="34" spans="1:14" s="155" customFormat="1">
      <c r="A34" s="208" t="s">
        <v>938</v>
      </c>
      <c r="B34" s="209">
        <v>1.1000000000000001</v>
      </c>
      <c r="C34" s="210" t="str">
        <f>IF('Server PICS'!I$64="Yes","Yes","No")</f>
        <v>No</v>
      </c>
      <c r="D34" s="140" t="s">
        <v>3</v>
      </c>
      <c r="E34" s="211" t="s">
        <v>252</v>
      </c>
      <c r="F34" s="140"/>
      <c r="G34" s="211" t="s">
        <v>1324</v>
      </c>
      <c r="H34" s="140"/>
      <c r="I34" s="211" t="s">
        <v>1324</v>
      </c>
      <c r="J34" s="140"/>
      <c r="K34" s="211"/>
      <c r="L34" s="212"/>
      <c r="M34" s="241" t="s">
        <v>2</v>
      </c>
      <c r="N34" s="241" t="s">
        <v>1402</v>
      </c>
    </row>
    <row r="35" spans="1:14" s="155" customFormat="1">
      <c r="A35" s="208" t="s">
        <v>939</v>
      </c>
      <c r="B35" s="209">
        <v>1.1000000000000001</v>
      </c>
      <c r="C35" s="210" t="str">
        <f>IF('Server PICS'!I$71="Yes","Yes","No")</f>
        <v>No</v>
      </c>
      <c r="D35" s="140" t="s">
        <v>3</v>
      </c>
      <c r="E35" s="211" t="s">
        <v>254</v>
      </c>
      <c r="F35" s="140"/>
      <c r="G35" s="211" t="s">
        <v>1324</v>
      </c>
      <c r="H35" s="140"/>
      <c r="I35" s="211" t="s">
        <v>1324</v>
      </c>
      <c r="J35" s="140"/>
      <c r="K35" s="211"/>
      <c r="L35" s="212"/>
      <c r="M35" s="241" t="s">
        <v>2</v>
      </c>
      <c r="N35" s="241" t="s">
        <v>1402</v>
      </c>
    </row>
    <row r="36" spans="1:14" s="155" customFormat="1">
      <c r="A36" s="208" t="s">
        <v>940</v>
      </c>
      <c r="B36" s="209" t="s">
        <v>1518</v>
      </c>
      <c r="C36" s="210" t="str">
        <f>IF('Server PICS'!I$46="Yes","Yes","No")</f>
        <v>No</v>
      </c>
      <c r="D36" s="140" t="s">
        <v>3</v>
      </c>
      <c r="E36" s="211" t="s">
        <v>486</v>
      </c>
      <c r="F36" s="140"/>
      <c r="G36" s="211" t="s">
        <v>1324</v>
      </c>
      <c r="H36" s="140"/>
      <c r="I36" s="211" t="s">
        <v>1324</v>
      </c>
      <c r="J36" s="140"/>
      <c r="K36" s="211"/>
      <c r="L36" s="212"/>
      <c r="M36" s="241" t="s">
        <v>2</v>
      </c>
      <c r="N36" s="241" t="s">
        <v>1402</v>
      </c>
    </row>
    <row r="37" spans="1:14" s="155" customFormat="1">
      <c r="A37" s="208" t="s">
        <v>941</v>
      </c>
      <c r="B37" s="209">
        <v>1.1000000000000001</v>
      </c>
      <c r="C37" s="210" t="str">
        <f>IF('Server PICS'!I$46="Yes","Yes","No")</f>
        <v>No</v>
      </c>
      <c r="D37" s="140" t="s">
        <v>3</v>
      </c>
      <c r="E37" s="211" t="s">
        <v>486</v>
      </c>
      <c r="F37" s="140"/>
      <c r="G37" s="211" t="s">
        <v>1324</v>
      </c>
      <c r="H37" s="140"/>
      <c r="I37" s="211" t="s">
        <v>1324</v>
      </c>
      <c r="J37" s="140"/>
      <c r="K37" s="211"/>
      <c r="L37" s="212"/>
      <c r="M37" s="241" t="s">
        <v>2</v>
      </c>
      <c r="N37" s="241" t="s">
        <v>1402</v>
      </c>
    </row>
    <row r="38" spans="1:14" s="155" customFormat="1">
      <c r="A38" s="208" t="s">
        <v>942</v>
      </c>
      <c r="B38" s="209">
        <v>1.1000000000000001</v>
      </c>
      <c r="C38" s="210" t="str">
        <f>IF('Server PICS'!I$46="Yes","Yes","No")</f>
        <v>No</v>
      </c>
      <c r="D38" s="140" t="s">
        <v>71</v>
      </c>
      <c r="E38" s="211" t="s">
        <v>247</v>
      </c>
      <c r="F38" s="140"/>
      <c r="G38" s="211" t="s">
        <v>1324</v>
      </c>
      <c r="H38" s="140"/>
      <c r="I38" s="211" t="s">
        <v>1324</v>
      </c>
      <c r="J38" s="140"/>
      <c r="K38" s="211"/>
      <c r="L38" s="212"/>
      <c r="M38" s="241" t="s">
        <v>2</v>
      </c>
      <c r="N38" s="241" t="s">
        <v>1402</v>
      </c>
    </row>
    <row r="39" spans="1:14" s="155" customFormat="1">
      <c r="A39" s="208" t="s">
        <v>1522</v>
      </c>
      <c r="B39" s="209" t="s">
        <v>1518</v>
      </c>
      <c r="C39" s="210" t="str">
        <f>IF('Server PICS'!I$53="Yes","Yes","No")</f>
        <v>No</v>
      </c>
      <c r="D39" s="140" t="s">
        <v>3</v>
      </c>
      <c r="E39" s="211" t="s">
        <v>248</v>
      </c>
      <c r="F39" s="140"/>
      <c r="G39" s="211" t="s">
        <v>1324</v>
      </c>
      <c r="H39" s="140"/>
      <c r="I39" s="211" t="s">
        <v>1324</v>
      </c>
      <c r="J39" s="140"/>
      <c r="K39" s="211"/>
      <c r="L39" s="212"/>
      <c r="M39" s="241" t="s">
        <v>2</v>
      </c>
      <c r="N39" s="241" t="s">
        <v>1402</v>
      </c>
    </row>
    <row r="40" spans="1:14" s="155" customFormat="1">
      <c r="A40" s="208" t="s">
        <v>1782</v>
      </c>
      <c r="B40" s="209" t="s">
        <v>1518</v>
      </c>
      <c r="C40" s="210" t="str">
        <f>IF(AND('Server PICS'!I$65="Yes",'Server PICS'!I$67="Yes"),"Yes","No")</f>
        <v>No</v>
      </c>
      <c r="D40" s="140" t="s">
        <v>71</v>
      </c>
      <c r="E40" s="211" t="s">
        <v>249</v>
      </c>
      <c r="F40" s="140" t="s">
        <v>1124</v>
      </c>
      <c r="G40" s="211" t="s">
        <v>1342</v>
      </c>
      <c r="H40" s="140"/>
      <c r="I40" s="211" t="s">
        <v>1324</v>
      </c>
      <c r="J40" s="140"/>
      <c r="K40" s="211"/>
      <c r="L40" s="212"/>
      <c r="M40" s="241" t="s">
        <v>2</v>
      </c>
      <c r="N40" s="241" t="s">
        <v>1402</v>
      </c>
    </row>
    <row r="41" spans="1:14" s="155" customFormat="1">
      <c r="A41" s="208" t="s">
        <v>943</v>
      </c>
      <c r="B41" s="209">
        <v>1.1000000000000001</v>
      </c>
      <c r="C41" s="210" t="str">
        <f>IF('Server PICS'!I$43="Yes","Yes","No")</f>
        <v>No</v>
      </c>
      <c r="D41" s="140" t="s">
        <v>3</v>
      </c>
      <c r="E41" s="211" t="s">
        <v>640</v>
      </c>
      <c r="F41" s="140"/>
      <c r="G41" s="211" t="s">
        <v>1324</v>
      </c>
      <c r="H41" s="140"/>
      <c r="I41" s="211" t="s">
        <v>1324</v>
      </c>
      <c r="J41" s="140"/>
      <c r="K41" s="211"/>
      <c r="L41" s="212"/>
      <c r="M41" s="241" t="s">
        <v>2</v>
      </c>
      <c r="N41" s="241" t="s">
        <v>1402</v>
      </c>
    </row>
    <row r="42" spans="1:14" s="155" customFormat="1">
      <c r="A42" s="208" t="s">
        <v>944</v>
      </c>
      <c r="B42" s="209">
        <v>1.1000000000000001</v>
      </c>
      <c r="C42" s="210" t="str">
        <f>IF('Server PICS'!I$43="Yes","Yes","No")</f>
        <v>No</v>
      </c>
      <c r="D42" s="140" t="s">
        <v>3</v>
      </c>
      <c r="E42" s="211" t="s">
        <v>640</v>
      </c>
      <c r="F42" s="140"/>
      <c r="G42" s="211" t="s">
        <v>1324</v>
      </c>
      <c r="H42" s="140"/>
      <c r="I42" s="211" t="s">
        <v>1324</v>
      </c>
      <c r="J42" s="140"/>
      <c r="K42" s="211"/>
      <c r="L42" s="212"/>
      <c r="M42" s="241" t="s">
        <v>2</v>
      </c>
      <c r="N42" s="241" t="s">
        <v>1402</v>
      </c>
    </row>
    <row r="43" spans="1:14" s="155" customFormat="1">
      <c r="A43" s="208" t="s">
        <v>1358</v>
      </c>
      <c r="B43" s="209" t="s">
        <v>929</v>
      </c>
      <c r="C43" s="210" t="str">
        <f>IF('Server PICS'!I$62="Yes","Yes","No")</f>
        <v>No</v>
      </c>
      <c r="D43" s="140" t="s">
        <v>3</v>
      </c>
      <c r="E43" s="211" t="s">
        <v>650</v>
      </c>
      <c r="F43" s="140"/>
      <c r="G43" s="211"/>
      <c r="H43" s="140"/>
      <c r="I43" s="211"/>
      <c r="J43" s="140"/>
      <c r="K43" s="211"/>
      <c r="L43" s="212"/>
      <c r="M43" s="241" t="s">
        <v>2</v>
      </c>
      <c r="N43" s="241" t="s">
        <v>1402</v>
      </c>
    </row>
    <row r="44" spans="1:14" s="155" customFormat="1">
      <c r="A44" s="208" t="s">
        <v>1359</v>
      </c>
      <c r="B44" s="209" t="s">
        <v>929</v>
      </c>
      <c r="C44" s="210" t="str">
        <f>IF('Server PICS'!I$62="Yes","Yes","No")</f>
        <v>No</v>
      </c>
      <c r="D44" s="140" t="s">
        <v>3</v>
      </c>
      <c r="E44" s="211" t="s">
        <v>650</v>
      </c>
      <c r="F44" s="140"/>
      <c r="G44" s="211"/>
      <c r="H44" s="140"/>
      <c r="I44" s="211"/>
      <c r="J44" s="140"/>
      <c r="K44" s="211"/>
      <c r="L44" s="212"/>
      <c r="M44" s="241" t="s">
        <v>2</v>
      </c>
      <c r="N44" s="241" t="s">
        <v>1402</v>
      </c>
    </row>
    <row r="45" spans="1:14" s="155" customFormat="1">
      <c r="A45" s="208" t="s">
        <v>1546</v>
      </c>
      <c r="B45" s="209" t="s">
        <v>1518</v>
      </c>
      <c r="C45" s="210" t="str">
        <f>IF('Server PICS'!I$32="Yes","Yes","No")</f>
        <v>No</v>
      </c>
      <c r="D45" s="140" t="s">
        <v>71</v>
      </c>
      <c r="E45" s="211" t="s">
        <v>235</v>
      </c>
      <c r="F45" s="140"/>
      <c r="G45" s="211" t="s">
        <v>1324</v>
      </c>
      <c r="H45" s="140"/>
      <c r="I45" s="211" t="s">
        <v>1324</v>
      </c>
      <c r="J45" s="140"/>
      <c r="K45" s="211"/>
      <c r="L45" s="212"/>
      <c r="M45" s="241" t="s">
        <v>2</v>
      </c>
      <c r="N45" s="241" t="s">
        <v>1403</v>
      </c>
    </row>
    <row r="46" spans="1:14" s="155" customFormat="1">
      <c r="A46" s="208" t="s">
        <v>1547</v>
      </c>
      <c r="B46" s="209" t="s">
        <v>1518</v>
      </c>
      <c r="C46" s="210" t="str">
        <f>IF('Server PICS'!I$32="Yes","Yes","No")</f>
        <v>No</v>
      </c>
      <c r="D46" s="140" t="s">
        <v>71</v>
      </c>
      <c r="E46" s="211" t="s">
        <v>235</v>
      </c>
      <c r="F46" s="140"/>
      <c r="G46" s="211" t="s">
        <v>1324</v>
      </c>
      <c r="H46" s="140"/>
      <c r="I46" s="211" t="s">
        <v>1324</v>
      </c>
      <c r="J46" s="140"/>
      <c r="K46" s="211"/>
      <c r="L46" s="212"/>
      <c r="M46" s="241" t="s">
        <v>2</v>
      </c>
      <c r="N46" s="241" t="s">
        <v>1403</v>
      </c>
    </row>
    <row r="47" spans="1:14" s="155" customFormat="1">
      <c r="A47" s="208" t="s">
        <v>1548</v>
      </c>
      <c r="B47" s="209" t="s">
        <v>1518</v>
      </c>
      <c r="C47" s="210" t="str">
        <f>IF(AND('Server PICS'!I$32="Yes",'Server PICS'!I$40="Yes"),"Yes","No")</f>
        <v>No</v>
      </c>
      <c r="D47" s="140" t="s">
        <v>71</v>
      </c>
      <c r="E47" s="211" t="s">
        <v>235</v>
      </c>
      <c r="F47" s="140" t="s">
        <v>1124</v>
      </c>
      <c r="G47" s="211" t="s">
        <v>239</v>
      </c>
      <c r="H47" s="140"/>
      <c r="I47" s="211" t="s">
        <v>1324</v>
      </c>
      <c r="J47" s="140"/>
      <c r="K47" s="211"/>
      <c r="L47" s="212"/>
      <c r="M47" s="241" t="s">
        <v>2</v>
      </c>
      <c r="N47" s="241" t="s">
        <v>1403</v>
      </c>
    </row>
    <row r="48" spans="1:14" s="155" customFormat="1">
      <c r="A48" s="208" t="s">
        <v>1549</v>
      </c>
      <c r="B48" s="209" t="s">
        <v>1518</v>
      </c>
      <c r="C48" s="210" t="str">
        <f>IF(AND('Server PICS'!I$32="Yes",'Server PICS'!I$40="Yes"),"Yes","No")</f>
        <v>No</v>
      </c>
      <c r="D48" s="140" t="s">
        <v>71</v>
      </c>
      <c r="E48" s="211" t="s">
        <v>235</v>
      </c>
      <c r="F48" s="140" t="s">
        <v>1124</v>
      </c>
      <c r="G48" s="211" t="s">
        <v>239</v>
      </c>
      <c r="H48" s="140"/>
      <c r="I48" s="211" t="s">
        <v>1324</v>
      </c>
      <c r="J48" s="140"/>
      <c r="K48" s="211"/>
      <c r="L48" s="212"/>
      <c r="M48" s="241" t="s">
        <v>2</v>
      </c>
      <c r="N48" s="241" t="s">
        <v>1403</v>
      </c>
    </row>
    <row r="49" spans="1:14" s="155" customFormat="1">
      <c r="A49" s="208" t="s">
        <v>1550</v>
      </c>
      <c r="B49" s="209" t="s">
        <v>1518</v>
      </c>
      <c r="C49" s="210" t="str">
        <f>IF(AND('Server PICS'!I$32="Yes",'Server PICS'!I$41="Yes"),"Yes","No")</f>
        <v>No</v>
      </c>
      <c r="D49" s="140" t="s">
        <v>71</v>
      </c>
      <c r="E49" s="211" t="s">
        <v>235</v>
      </c>
      <c r="F49" s="140" t="s">
        <v>1124</v>
      </c>
      <c r="G49" s="211" t="s">
        <v>240</v>
      </c>
      <c r="H49" s="140"/>
      <c r="I49" s="211" t="s">
        <v>1324</v>
      </c>
      <c r="J49" s="140"/>
      <c r="K49" s="211"/>
      <c r="L49" s="212"/>
      <c r="M49" s="241" t="s">
        <v>2</v>
      </c>
      <c r="N49" s="241" t="s">
        <v>1403</v>
      </c>
    </row>
    <row r="50" spans="1:14" s="155" customFormat="1">
      <c r="A50" s="208" t="s">
        <v>1551</v>
      </c>
      <c r="B50" s="209" t="s">
        <v>1518</v>
      </c>
      <c r="C50" s="210" t="str">
        <f>IF(AND('Server PICS'!I$32="Yes",'Server PICS'!I$41="Yes"),"Yes","No")</f>
        <v>No</v>
      </c>
      <c r="D50" s="140" t="s">
        <v>71</v>
      </c>
      <c r="E50" s="211" t="s">
        <v>235</v>
      </c>
      <c r="F50" s="140" t="s">
        <v>1124</v>
      </c>
      <c r="G50" s="211" t="s">
        <v>240</v>
      </c>
      <c r="H50" s="140"/>
      <c r="I50" s="211" t="s">
        <v>1324</v>
      </c>
      <c r="J50" s="140"/>
      <c r="K50" s="211"/>
      <c r="L50" s="212"/>
      <c r="M50" s="241" t="s">
        <v>2</v>
      </c>
      <c r="N50" s="241" t="s">
        <v>1403</v>
      </c>
    </row>
    <row r="51" spans="1:14" s="155" customFormat="1">
      <c r="A51" s="208" t="s">
        <v>1552</v>
      </c>
      <c r="B51" s="209" t="s">
        <v>1518</v>
      </c>
      <c r="C51" s="210" t="str">
        <f>IF('Server PICS'!I$30="Yes","Yes","No")</f>
        <v>No</v>
      </c>
      <c r="D51" s="140" t="s">
        <v>71</v>
      </c>
      <c r="E51" s="211" t="s">
        <v>233</v>
      </c>
      <c r="F51" s="140"/>
      <c r="G51" s="211" t="s">
        <v>1324</v>
      </c>
      <c r="H51" s="140"/>
      <c r="I51" s="211" t="s">
        <v>1324</v>
      </c>
      <c r="J51" s="140"/>
      <c r="K51" s="211"/>
      <c r="L51" s="212"/>
      <c r="M51" s="241" t="s">
        <v>2</v>
      </c>
      <c r="N51" s="241" t="s">
        <v>1403</v>
      </c>
    </row>
    <row r="52" spans="1:14" s="155" customFormat="1">
      <c r="A52" s="208" t="s">
        <v>1553</v>
      </c>
      <c r="B52" s="209" t="s">
        <v>1518</v>
      </c>
      <c r="C52" s="210" t="str">
        <f>IF('Server PICS'!I$30="Yes","Yes","No")</f>
        <v>No</v>
      </c>
      <c r="D52" s="140" t="s">
        <v>71</v>
      </c>
      <c r="E52" s="211" t="s">
        <v>233</v>
      </c>
      <c r="F52" s="140"/>
      <c r="G52" s="211" t="s">
        <v>1324</v>
      </c>
      <c r="H52" s="140"/>
      <c r="I52" s="211" t="s">
        <v>1324</v>
      </c>
      <c r="J52" s="140"/>
      <c r="K52" s="211"/>
      <c r="L52" s="212"/>
      <c r="M52" s="241" t="s">
        <v>2</v>
      </c>
      <c r="N52" s="241" t="s">
        <v>1403</v>
      </c>
    </row>
    <row r="53" spans="1:14" s="155" customFormat="1">
      <c r="A53" s="208" t="s">
        <v>1554</v>
      </c>
      <c r="B53" s="209" t="s">
        <v>1518</v>
      </c>
      <c r="C53" s="210" t="str">
        <f>IF(AND('Server PICS'!I$30="Yes",'Server PICS'!I$40="Yes"),"Yes","No")</f>
        <v>No</v>
      </c>
      <c r="D53" s="140" t="s">
        <v>71</v>
      </c>
      <c r="E53" s="211" t="s">
        <v>233</v>
      </c>
      <c r="F53" s="140" t="s">
        <v>1124</v>
      </c>
      <c r="G53" s="211" t="s">
        <v>239</v>
      </c>
      <c r="H53" s="140"/>
      <c r="I53" s="211" t="s">
        <v>1324</v>
      </c>
      <c r="J53" s="140"/>
      <c r="K53" s="211"/>
      <c r="L53" s="212"/>
      <c r="M53" s="241" t="s">
        <v>2</v>
      </c>
      <c r="N53" s="241" t="s">
        <v>1403</v>
      </c>
    </row>
    <row r="54" spans="1:14" s="155" customFormat="1">
      <c r="A54" s="208" t="s">
        <v>1555</v>
      </c>
      <c r="B54" s="209" t="s">
        <v>1518</v>
      </c>
      <c r="C54" s="210" t="str">
        <f>IF(AND('Server PICS'!I$30="Yes",'Server PICS'!I$40="Yes"),"Yes","No")</f>
        <v>No</v>
      </c>
      <c r="D54" s="140" t="s">
        <v>71</v>
      </c>
      <c r="E54" s="211" t="s">
        <v>233</v>
      </c>
      <c r="F54" s="140" t="s">
        <v>1124</v>
      </c>
      <c r="G54" s="211" t="s">
        <v>239</v>
      </c>
      <c r="H54" s="140"/>
      <c r="I54" s="211" t="s">
        <v>1324</v>
      </c>
      <c r="J54" s="140"/>
      <c r="K54" s="211"/>
      <c r="L54" s="212"/>
      <c r="M54" s="241" t="s">
        <v>2</v>
      </c>
      <c r="N54" s="241" t="s">
        <v>1403</v>
      </c>
    </row>
    <row r="55" spans="1:14" s="155" customFormat="1">
      <c r="A55" s="208" t="s">
        <v>1580</v>
      </c>
      <c r="B55" s="209" t="s">
        <v>1518</v>
      </c>
      <c r="C55" s="210" t="str">
        <f>IF(AND('Server PICS'!I$30="Yes",'Server PICS'!I$41="Yes"),"Yes","No")</f>
        <v>No</v>
      </c>
      <c r="D55" s="140" t="s">
        <v>71</v>
      </c>
      <c r="E55" s="211" t="s">
        <v>233</v>
      </c>
      <c r="F55" s="140" t="s">
        <v>1124</v>
      </c>
      <c r="G55" s="211" t="s">
        <v>240</v>
      </c>
      <c r="H55" s="140"/>
      <c r="I55" s="211" t="s">
        <v>1324</v>
      </c>
      <c r="J55" s="140"/>
      <c r="K55" s="211"/>
      <c r="L55" s="212"/>
      <c r="M55" s="241" t="s">
        <v>2</v>
      </c>
      <c r="N55" s="241" t="s">
        <v>1403</v>
      </c>
    </row>
    <row r="56" spans="1:14" s="155" customFormat="1">
      <c r="A56" s="208" t="s">
        <v>1581</v>
      </c>
      <c r="B56" s="209" t="s">
        <v>1518</v>
      </c>
      <c r="C56" s="210" t="str">
        <f>IF(AND('Server PICS'!I$30="Yes",'Server PICS'!I$41="Yes"),"Yes","No")</f>
        <v>No</v>
      </c>
      <c r="D56" s="140" t="s">
        <v>71</v>
      </c>
      <c r="E56" s="211" t="s">
        <v>233</v>
      </c>
      <c r="F56" s="140" t="s">
        <v>1124</v>
      </c>
      <c r="G56" s="211" t="s">
        <v>240</v>
      </c>
      <c r="H56" s="140"/>
      <c r="I56" s="211" t="s">
        <v>1324</v>
      </c>
      <c r="J56" s="140"/>
      <c r="K56" s="211"/>
      <c r="L56" s="212"/>
      <c r="M56" s="241" t="s">
        <v>2</v>
      </c>
      <c r="N56" s="241" t="s">
        <v>1403</v>
      </c>
    </row>
    <row r="57" spans="1:14" s="155" customFormat="1">
      <c r="A57" s="208" t="s">
        <v>1556</v>
      </c>
      <c r="B57" s="209" t="s">
        <v>1518</v>
      </c>
      <c r="C57" s="210" t="str">
        <f>IF('Server PICS'!I$27="Yes","Yes","No")</f>
        <v>No</v>
      </c>
      <c r="D57" s="140" t="s">
        <v>3</v>
      </c>
      <c r="E57" s="211" t="s">
        <v>634</v>
      </c>
      <c r="F57" s="140"/>
      <c r="G57" s="211" t="s">
        <v>1324</v>
      </c>
      <c r="H57" s="140"/>
      <c r="I57" s="211" t="s">
        <v>1324</v>
      </c>
      <c r="J57" s="140"/>
      <c r="K57" s="211"/>
      <c r="L57" s="212"/>
      <c r="M57" s="241" t="s">
        <v>2</v>
      </c>
      <c r="N57" s="241" t="s">
        <v>1403</v>
      </c>
    </row>
    <row r="58" spans="1:14" s="155" customFormat="1">
      <c r="A58" s="208" t="s">
        <v>1557</v>
      </c>
      <c r="B58" s="209" t="s">
        <v>1518</v>
      </c>
      <c r="C58" s="210" t="str">
        <f>IF('Server PICS'!I$27="Yes","Yes","No")</f>
        <v>No</v>
      </c>
      <c r="D58" s="140" t="s">
        <v>3</v>
      </c>
      <c r="E58" s="211" t="s">
        <v>634</v>
      </c>
      <c r="F58" s="140"/>
      <c r="G58" s="211" t="s">
        <v>1324</v>
      </c>
      <c r="H58" s="140"/>
      <c r="I58" s="211" t="s">
        <v>1324</v>
      </c>
      <c r="J58" s="140"/>
      <c r="K58" s="211"/>
      <c r="L58" s="212"/>
      <c r="M58" s="241" t="s">
        <v>2</v>
      </c>
      <c r="N58" s="241" t="s">
        <v>1403</v>
      </c>
    </row>
    <row r="59" spans="1:14" s="155" customFormat="1">
      <c r="A59" s="208" t="s">
        <v>1568</v>
      </c>
      <c r="B59" s="209" t="s">
        <v>1518</v>
      </c>
      <c r="C59" s="210" t="str">
        <f>IF(AND('Server PICS'!I$27="Yes",'Server PICS'!I$40="Yes"),"Yes","No")</f>
        <v>No</v>
      </c>
      <c r="D59" s="140" t="s">
        <v>71</v>
      </c>
      <c r="E59" s="211" t="s">
        <v>634</v>
      </c>
      <c r="F59" s="140" t="s">
        <v>1124</v>
      </c>
      <c r="G59" s="211" t="s">
        <v>239</v>
      </c>
      <c r="H59" s="140"/>
      <c r="I59" s="211" t="s">
        <v>1324</v>
      </c>
      <c r="J59" s="140"/>
      <c r="K59" s="211"/>
      <c r="L59" s="212"/>
      <c r="M59" s="241" t="s">
        <v>2</v>
      </c>
      <c r="N59" s="241" t="s">
        <v>1403</v>
      </c>
    </row>
    <row r="60" spans="1:14" s="155" customFormat="1">
      <c r="A60" s="208" t="s">
        <v>1569</v>
      </c>
      <c r="B60" s="209" t="s">
        <v>1518</v>
      </c>
      <c r="C60" s="210" t="str">
        <f>IF(AND('Server PICS'!I$27="Yes",'Server PICS'!I$40="Yes"),"Yes","No")</f>
        <v>No</v>
      </c>
      <c r="D60" s="140" t="s">
        <v>71</v>
      </c>
      <c r="E60" s="211" t="s">
        <v>634</v>
      </c>
      <c r="F60" s="140" t="s">
        <v>1124</v>
      </c>
      <c r="G60" s="211" t="s">
        <v>239</v>
      </c>
      <c r="H60" s="140"/>
      <c r="I60" s="211" t="s">
        <v>1324</v>
      </c>
      <c r="J60" s="140"/>
      <c r="K60" s="211"/>
      <c r="L60" s="212"/>
      <c r="M60" s="241" t="s">
        <v>2</v>
      </c>
      <c r="N60" s="241" t="s">
        <v>1403</v>
      </c>
    </row>
    <row r="61" spans="1:14" s="155" customFormat="1">
      <c r="A61" s="208" t="s">
        <v>1582</v>
      </c>
      <c r="B61" s="209" t="s">
        <v>1518</v>
      </c>
      <c r="C61" s="210" t="str">
        <f>IF(AND('Server PICS'!I$27="Yes",'Server PICS'!I$41="Yes"),"Yes","No")</f>
        <v>No</v>
      </c>
      <c r="D61" s="140" t="s">
        <v>71</v>
      </c>
      <c r="E61" s="211" t="s">
        <v>634</v>
      </c>
      <c r="F61" s="140" t="s">
        <v>1124</v>
      </c>
      <c r="G61" s="211" t="s">
        <v>240</v>
      </c>
      <c r="H61" s="140"/>
      <c r="I61" s="211" t="s">
        <v>1324</v>
      </c>
      <c r="J61" s="140"/>
      <c r="K61" s="211"/>
      <c r="L61" s="212"/>
      <c r="M61" s="241" t="s">
        <v>2</v>
      </c>
      <c r="N61" s="241" t="s">
        <v>1403</v>
      </c>
    </row>
    <row r="62" spans="1:14" s="155" customFormat="1">
      <c r="A62" s="208" t="s">
        <v>1583</v>
      </c>
      <c r="B62" s="209" t="s">
        <v>1518</v>
      </c>
      <c r="C62" s="210" t="str">
        <f>IF(AND('Server PICS'!I$27="Yes",'Server PICS'!I$41="Yes"),"Yes","No")</f>
        <v>No</v>
      </c>
      <c r="D62" s="140" t="s">
        <v>71</v>
      </c>
      <c r="E62" s="211" t="s">
        <v>634</v>
      </c>
      <c r="F62" s="140" t="s">
        <v>1124</v>
      </c>
      <c r="G62" s="211" t="s">
        <v>240</v>
      </c>
      <c r="H62" s="140"/>
      <c r="I62" s="211" t="s">
        <v>1324</v>
      </c>
      <c r="J62" s="140"/>
      <c r="K62" s="211"/>
      <c r="L62" s="212"/>
      <c r="M62" s="241" t="s">
        <v>2</v>
      </c>
      <c r="N62" s="241" t="s">
        <v>1403</v>
      </c>
    </row>
    <row r="63" spans="1:14" s="155" customFormat="1">
      <c r="A63" s="208" t="s">
        <v>1558</v>
      </c>
      <c r="B63" s="209" t="s">
        <v>1518</v>
      </c>
      <c r="C63" s="210" t="str">
        <f>IF('Server PICS'!I$29="Yes","Yes","No")</f>
        <v>No</v>
      </c>
      <c r="D63" s="140" t="s">
        <v>3</v>
      </c>
      <c r="E63" s="211" t="s">
        <v>635</v>
      </c>
      <c r="F63" s="140"/>
      <c r="G63" s="211" t="s">
        <v>1324</v>
      </c>
      <c r="H63" s="140"/>
      <c r="I63" s="211" t="s">
        <v>1324</v>
      </c>
      <c r="J63" s="140"/>
      <c r="K63" s="211"/>
      <c r="L63" s="212"/>
      <c r="M63" s="241" t="s">
        <v>2</v>
      </c>
      <c r="N63" s="241" t="s">
        <v>1403</v>
      </c>
    </row>
    <row r="64" spans="1:14" s="155" customFormat="1">
      <c r="A64" s="208" t="s">
        <v>1559</v>
      </c>
      <c r="B64" s="209" t="s">
        <v>1518</v>
      </c>
      <c r="C64" s="210" t="str">
        <f>IF('Server PICS'!I$29="Yes","Yes","No")</f>
        <v>No</v>
      </c>
      <c r="D64" s="140" t="s">
        <v>3</v>
      </c>
      <c r="E64" s="211" t="s">
        <v>635</v>
      </c>
      <c r="F64" s="140"/>
      <c r="G64" s="211" t="s">
        <v>1324</v>
      </c>
      <c r="H64" s="140"/>
      <c r="I64" s="211" t="s">
        <v>1324</v>
      </c>
      <c r="J64" s="140"/>
      <c r="K64" s="211"/>
      <c r="L64" s="212"/>
      <c r="M64" s="241" t="s">
        <v>2</v>
      </c>
      <c r="N64" s="241" t="s">
        <v>1403</v>
      </c>
    </row>
    <row r="65" spans="1:14" s="155" customFormat="1">
      <c r="A65" s="208" t="s">
        <v>1570</v>
      </c>
      <c r="B65" s="209" t="s">
        <v>1518</v>
      </c>
      <c r="C65" s="210" t="str">
        <f>IF(AND('Server PICS'!I$29="Yes",'Server PICS'!I$40="Yes"),"Yes","No")</f>
        <v>No</v>
      </c>
      <c r="D65" s="140" t="s">
        <v>71</v>
      </c>
      <c r="E65" s="211" t="s">
        <v>635</v>
      </c>
      <c r="F65" s="140" t="s">
        <v>1124</v>
      </c>
      <c r="G65" s="211" t="s">
        <v>239</v>
      </c>
      <c r="H65" s="140"/>
      <c r="I65" s="211" t="s">
        <v>1324</v>
      </c>
      <c r="J65" s="140"/>
      <c r="K65" s="211"/>
      <c r="L65" s="212"/>
      <c r="M65" s="241" t="s">
        <v>2</v>
      </c>
      <c r="N65" s="241" t="s">
        <v>1403</v>
      </c>
    </row>
    <row r="66" spans="1:14" s="155" customFormat="1">
      <c r="A66" s="208" t="s">
        <v>1571</v>
      </c>
      <c r="B66" s="209" t="s">
        <v>1518</v>
      </c>
      <c r="C66" s="210" t="str">
        <f>IF(AND('Server PICS'!I$29="Yes",'Server PICS'!I$40="Yes"),"Yes","No")</f>
        <v>No</v>
      </c>
      <c r="D66" s="140" t="s">
        <v>71</v>
      </c>
      <c r="E66" s="211" t="s">
        <v>635</v>
      </c>
      <c r="F66" s="140" t="s">
        <v>1124</v>
      </c>
      <c r="G66" s="211" t="s">
        <v>239</v>
      </c>
      <c r="H66" s="140"/>
      <c r="I66" s="211" t="s">
        <v>1324</v>
      </c>
      <c r="J66" s="140"/>
      <c r="K66" s="211"/>
      <c r="L66" s="212"/>
      <c r="M66" s="241" t="s">
        <v>2</v>
      </c>
      <c r="N66" s="241" t="s">
        <v>1403</v>
      </c>
    </row>
    <row r="67" spans="1:14" s="155" customFormat="1">
      <c r="A67" s="208" t="s">
        <v>1584</v>
      </c>
      <c r="B67" s="209" t="s">
        <v>1518</v>
      </c>
      <c r="C67" s="210" t="str">
        <f>IF(AND('Server PICS'!I$29="Yes",'Server PICS'!I$41="Yes"),"Yes","No")</f>
        <v>No</v>
      </c>
      <c r="D67" s="140" t="s">
        <v>71</v>
      </c>
      <c r="E67" s="211" t="s">
        <v>635</v>
      </c>
      <c r="F67" s="140" t="s">
        <v>1124</v>
      </c>
      <c r="G67" s="211" t="s">
        <v>240</v>
      </c>
      <c r="H67" s="140"/>
      <c r="I67" s="211" t="s">
        <v>1324</v>
      </c>
      <c r="J67" s="140"/>
      <c r="K67" s="211"/>
      <c r="L67" s="212"/>
      <c r="M67" s="241" t="s">
        <v>2</v>
      </c>
      <c r="N67" s="241" t="s">
        <v>1403</v>
      </c>
    </row>
    <row r="68" spans="1:14" s="155" customFormat="1">
      <c r="A68" s="208" t="s">
        <v>1585</v>
      </c>
      <c r="B68" s="209" t="s">
        <v>1518</v>
      </c>
      <c r="C68" s="210" t="str">
        <f>IF(AND('Server PICS'!I$29="Yes",'Server PICS'!I$41="Yes"),"Yes","No")</f>
        <v>No</v>
      </c>
      <c r="D68" s="140" t="s">
        <v>71</v>
      </c>
      <c r="E68" s="211" t="s">
        <v>635</v>
      </c>
      <c r="F68" s="140" t="s">
        <v>1124</v>
      </c>
      <c r="G68" s="211" t="s">
        <v>240</v>
      </c>
      <c r="H68" s="140"/>
      <c r="I68" s="211" t="s">
        <v>1324</v>
      </c>
      <c r="J68" s="140"/>
      <c r="K68" s="211"/>
      <c r="L68" s="212"/>
      <c r="M68" s="241" t="s">
        <v>2</v>
      </c>
      <c r="N68" s="241" t="s">
        <v>1403</v>
      </c>
    </row>
    <row r="69" spans="1:14" s="155" customFormat="1">
      <c r="A69" s="208" t="s">
        <v>1560</v>
      </c>
      <c r="B69" s="209" t="s">
        <v>1518</v>
      </c>
      <c r="C69" s="210" t="str">
        <f>IF('Server PICS'!I$28="Yes","Yes","No")</f>
        <v>No</v>
      </c>
      <c r="D69" s="140" t="s">
        <v>71</v>
      </c>
      <c r="E69" s="211" t="s">
        <v>232</v>
      </c>
      <c r="F69" s="140"/>
      <c r="G69" s="211" t="s">
        <v>1324</v>
      </c>
      <c r="H69" s="140"/>
      <c r="I69" s="211" t="s">
        <v>1324</v>
      </c>
      <c r="J69" s="140"/>
      <c r="K69" s="211"/>
      <c r="L69" s="212"/>
      <c r="M69" s="241" t="s">
        <v>2</v>
      </c>
      <c r="N69" s="241" t="s">
        <v>1403</v>
      </c>
    </row>
    <row r="70" spans="1:14" s="155" customFormat="1">
      <c r="A70" s="208" t="s">
        <v>1561</v>
      </c>
      <c r="B70" s="209" t="s">
        <v>1518</v>
      </c>
      <c r="C70" s="210" t="str">
        <f>IF('Server PICS'!I$28="Yes","Yes","No")</f>
        <v>No</v>
      </c>
      <c r="D70" s="140" t="s">
        <v>71</v>
      </c>
      <c r="E70" s="211" t="s">
        <v>232</v>
      </c>
      <c r="F70" s="140"/>
      <c r="G70" s="211" t="s">
        <v>1324</v>
      </c>
      <c r="H70" s="140"/>
      <c r="I70" s="211" t="s">
        <v>1324</v>
      </c>
      <c r="J70" s="140"/>
      <c r="K70" s="211"/>
      <c r="L70" s="212"/>
      <c r="M70" s="241" t="s">
        <v>2</v>
      </c>
      <c r="N70" s="241" t="s">
        <v>1403</v>
      </c>
    </row>
    <row r="71" spans="1:14" s="155" customFormat="1">
      <c r="A71" s="208" t="s">
        <v>1572</v>
      </c>
      <c r="B71" s="209" t="s">
        <v>1518</v>
      </c>
      <c r="C71" s="210" t="str">
        <f>IF(AND('Server PICS'!I$28="Yes",'Server PICS'!I$40="Yes"),"Yes","No")</f>
        <v>No</v>
      </c>
      <c r="D71" s="140" t="s">
        <v>71</v>
      </c>
      <c r="E71" s="211" t="s">
        <v>232</v>
      </c>
      <c r="F71" s="140" t="s">
        <v>1124</v>
      </c>
      <c r="G71" s="211" t="s">
        <v>239</v>
      </c>
      <c r="H71" s="140"/>
      <c r="I71" s="211" t="s">
        <v>1324</v>
      </c>
      <c r="J71" s="140"/>
      <c r="K71" s="211"/>
      <c r="L71" s="212"/>
      <c r="M71" s="241" t="s">
        <v>2</v>
      </c>
      <c r="N71" s="241" t="s">
        <v>1403</v>
      </c>
    </row>
    <row r="72" spans="1:14" s="155" customFormat="1">
      <c r="A72" s="208" t="s">
        <v>1573</v>
      </c>
      <c r="B72" s="209" t="s">
        <v>1518</v>
      </c>
      <c r="C72" s="210" t="str">
        <f>IF(AND('Server PICS'!I$28="Yes",'Server PICS'!I$40="Yes"),"Yes","No")</f>
        <v>No</v>
      </c>
      <c r="D72" s="140" t="s">
        <v>71</v>
      </c>
      <c r="E72" s="211" t="s">
        <v>232</v>
      </c>
      <c r="F72" s="140" t="s">
        <v>1124</v>
      </c>
      <c r="G72" s="211" t="s">
        <v>239</v>
      </c>
      <c r="H72" s="140"/>
      <c r="I72" s="211" t="s">
        <v>1324</v>
      </c>
      <c r="J72" s="140"/>
      <c r="K72" s="211"/>
      <c r="L72" s="212"/>
      <c r="M72" s="241" t="s">
        <v>2</v>
      </c>
      <c r="N72" s="241" t="s">
        <v>1403</v>
      </c>
    </row>
    <row r="73" spans="1:14" s="155" customFormat="1">
      <c r="A73" s="208" t="s">
        <v>1586</v>
      </c>
      <c r="B73" s="209" t="s">
        <v>1518</v>
      </c>
      <c r="C73" s="210" t="str">
        <f>IF(AND('Server PICS'!I$28="Yes",'Server PICS'!I$41="Yes"),"Yes","No")</f>
        <v>No</v>
      </c>
      <c r="D73" s="140" t="s">
        <v>71</v>
      </c>
      <c r="E73" s="211" t="s">
        <v>232</v>
      </c>
      <c r="F73" s="140" t="s">
        <v>1124</v>
      </c>
      <c r="G73" s="211" t="s">
        <v>240</v>
      </c>
      <c r="H73" s="140"/>
      <c r="I73" s="211" t="s">
        <v>1324</v>
      </c>
      <c r="J73" s="140"/>
      <c r="K73" s="211"/>
      <c r="L73" s="212"/>
      <c r="M73" s="241" t="s">
        <v>2</v>
      </c>
      <c r="N73" s="241" t="s">
        <v>1403</v>
      </c>
    </row>
    <row r="74" spans="1:14" s="155" customFormat="1">
      <c r="A74" s="208" t="s">
        <v>1587</v>
      </c>
      <c r="B74" s="209" t="s">
        <v>1518</v>
      </c>
      <c r="C74" s="210" t="str">
        <f>IF(AND('Server PICS'!I$28="Yes",'Server PICS'!I$41="Yes"),"Yes","No")</f>
        <v>No</v>
      </c>
      <c r="D74" s="140" t="s">
        <v>71</v>
      </c>
      <c r="E74" s="211" t="s">
        <v>232</v>
      </c>
      <c r="F74" s="140" t="s">
        <v>1124</v>
      </c>
      <c r="G74" s="211" t="s">
        <v>240</v>
      </c>
      <c r="H74" s="140"/>
      <c r="I74" s="211" t="s">
        <v>1324</v>
      </c>
      <c r="J74" s="140"/>
      <c r="K74" s="211"/>
      <c r="L74" s="212"/>
      <c r="M74" s="241" t="s">
        <v>2</v>
      </c>
      <c r="N74" s="241" t="s">
        <v>1403</v>
      </c>
    </row>
    <row r="75" spans="1:14" s="155" customFormat="1">
      <c r="A75" s="208" t="s">
        <v>1562</v>
      </c>
      <c r="B75" s="209" t="s">
        <v>1518</v>
      </c>
      <c r="C75" s="210" t="str">
        <f>IF('Server PICS'!I$31="Yes","Yes","No")</f>
        <v>No</v>
      </c>
      <c r="D75" s="140" t="s">
        <v>71</v>
      </c>
      <c r="E75" s="211" t="s">
        <v>234</v>
      </c>
      <c r="F75" s="140"/>
      <c r="G75" s="211" t="s">
        <v>1324</v>
      </c>
      <c r="H75" s="140"/>
      <c r="I75" s="211" t="s">
        <v>1324</v>
      </c>
      <c r="J75" s="140"/>
      <c r="K75" s="211"/>
      <c r="L75" s="212"/>
      <c r="M75" s="241" t="s">
        <v>2</v>
      </c>
      <c r="N75" s="241" t="s">
        <v>1403</v>
      </c>
    </row>
    <row r="76" spans="1:14" s="155" customFormat="1">
      <c r="A76" s="208" t="s">
        <v>1563</v>
      </c>
      <c r="B76" s="209" t="s">
        <v>1518</v>
      </c>
      <c r="C76" s="210" t="str">
        <f>IF('Server PICS'!I$31="Yes","Yes","No")</f>
        <v>No</v>
      </c>
      <c r="D76" s="140" t="s">
        <v>71</v>
      </c>
      <c r="E76" s="211" t="s">
        <v>234</v>
      </c>
      <c r="F76" s="140"/>
      <c r="G76" s="211" t="s">
        <v>1324</v>
      </c>
      <c r="H76" s="140"/>
      <c r="I76" s="211" t="s">
        <v>1324</v>
      </c>
      <c r="J76" s="140"/>
      <c r="K76" s="211"/>
      <c r="L76" s="212"/>
      <c r="M76" s="241" t="s">
        <v>2</v>
      </c>
      <c r="N76" s="241" t="s">
        <v>1403</v>
      </c>
    </row>
    <row r="77" spans="1:14" s="155" customFormat="1">
      <c r="A77" s="208" t="s">
        <v>1574</v>
      </c>
      <c r="B77" s="209" t="s">
        <v>1518</v>
      </c>
      <c r="C77" s="210" t="str">
        <f>IF(AND('Server PICS'!I$31="Yes",'Server PICS'!I$40="Yes"),"Yes","No")</f>
        <v>No</v>
      </c>
      <c r="D77" s="140" t="s">
        <v>71</v>
      </c>
      <c r="E77" s="211" t="s">
        <v>234</v>
      </c>
      <c r="F77" s="140" t="s">
        <v>1124</v>
      </c>
      <c r="G77" s="211" t="s">
        <v>239</v>
      </c>
      <c r="H77" s="140"/>
      <c r="I77" s="211" t="s">
        <v>1324</v>
      </c>
      <c r="J77" s="140"/>
      <c r="K77" s="211"/>
      <c r="L77" s="212"/>
      <c r="M77" s="241" t="s">
        <v>2</v>
      </c>
      <c r="N77" s="241" t="s">
        <v>1403</v>
      </c>
    </row>
    <row r="78" spans="1:14" s="155" customFormat="1">
      <c r="A78" s="208" t="s">
        <v>1575</v>
      </c>
      <c r="B78" s="209" t="s">
        <v>1518</v>
      </c>
      <c r="C78" s="210" t="str">
        <f>IF(AND('Server PICS'!I$31="Yes",'Server PICS'!I$40="Yes"),"Yes","No")</f>
        <v>No</v>
      </c>
      <c r="D78" s="140" t="s">
        <v>71</v>
      </c>
      <c r="E78" s="211" t="s">
        <v>234</v>
      </c>
      <c r="F78" s="140" t="s">
        <v>1124</v>
      </c>
      <c r="G78" s="211" t="s">
        <v>239</v>
      </c>
      <c r="H78" s="140"/>
      <c r="I78" s="211" t="s">
        <v>1324</v>
      </c>
      <c r="J78" s="140"/>
      <c r="K78" s="211"/>
      <c r="L78" s="212"/>
      <c r="M78" s="241" t="s">
        <v>2</v>
      </c>
      <c r="N78" s="241" t="s">
        <v>1403</v>
      </c>
    </row>
    <row r="79" spans="1:14" s="155" customFormat="1">
      <c r="A79" s="208" t="s">
        <v>1588</v>
      </c>
      <c r="B79" s="209" t="s">
        <v>1518</v>
      </c>
      <c r="C79" s="210" t="str">
        <f>IF(AND('Server PICS'!I$31="Yes",'Server PICS'!I$41="Yes"),"Yes","No")</f>
        <v>No</v>
      </c>
      <c r="D79" s="140" t="s">
        <v>71</v>
      </c>
      <c r="E79" s="211" t="s">
        <v>234</v>
      </c>
      <c r="F79" s="140" t="s">
        <v>1124</v>
      </c>
      <c r="G79" s="211" t="s">
        <v>240</v>
      </c>
      <c r="H79" s="140"/>
      <c r="I79" s="211" t="s">
        <v>1324</v>
      </c>
      <c r="J79" s="140"/>
      <c r="K79" s="211"/>
      <c r="L79" s="212"/>
      <c r="M79" s="241" t="s">
        <v>2</v>
      </c>
      <c r="N79" s="241" t="s">
        <v>1403</v>
      </c>
    </row>
    <row r="80" spans="1:14" s="155" customFormat="1">
      <c r="A80" s="208" t="s">
        <v>1589</v>
      </c>
      <c r="B80" s="209" t="s">
        <v>1518</v>
      </c>
      <c r="C80" s="210" t="str">
        <f>IF(AND('Server PICS'!I$31="Yes",'Server PICS'!I$41="Yes"),"Yes","No")</f>
        <v>No</v>
      </c>
      <c r="D80" s="140" t="s">
        <v>71</v>
      </c>
      <c r="E80" s="211" t="s">
        <v>234</v>
      </c>
      <c r="F80" s="140" t="s">
        <v>1124</v>
      </c>
      <c r="G80" s="211" t="s">
        <v>240</v>
      </c>
      <c r="H80" s="140"/>
      <c r="I80" s="211" t="s">
        <v>1324</v>
      </c>
      <c r="J80" s="140"/>
      <c r="K80" s="211"/>
      <c r="L80" s="212"/>
      <c r="M80" s="241" t="s">
        <v>2</v>
      </c>
      <c r="N80" s="241" t="s">
        <v>1403</v>
      </c>
    </row>
    <row r="81" spans="1:14" s="155" customFormat="1">
      <c r="A81" s="208" t="s">
        <v>1564</v>
      </c>
      <c r="B81" s="209" t="s">
        <v>1518</v>
      </c>
      <c r="C81" s="210" t="str">
        <f>IF('Server PICS'!I$33="Yes","Yes","No")</f>
        <v>No</v>
      </c>
      <c r="D81" s="140" t="s">
        <v>71</v>
      </c>
      <c r="E81" s="211" t="s">
        <v>236</v>
      </c>
      <c r="F81" s="140"/>
      <c r="G81" s="211" t="s">
        <v>1324</v>
      </c>
      <c r="H81" s="140"/>
      <c r="I81" s="211" t="s">
        <v>1324</v>
      </c>
      <c r="J81" s="140"/>
      <c r="K81" s="211"/>
      <c r="L81" s="212"/>
      <c r="M81" s="241" t="s">
        <v>2</v>
      </c>
      <c r="N81" s="241" t="s">
        <v>1403</v>
      </c>
    </row>
    <row r="82" spans="1:14" s="155" customFormat="1">
      <c r="A82" s="208" t="s">
        <v>1565</v>
      </c>
      <c r="B82" s="209" t="s">
        <v>1518</v>
      </c>
      <c r="C82" s="210" t="str">
        <f>IF('Server PICS'!I$33="Yes","Yes","No")</f>
        <v>No</v>
      </c>
      <c r="D82" s="140" t="s">
        <v>71</v>
      </c>
      <c r="E82" s="211" t="s">
        <v>236</v>
      </c>
      <c r="F82" s="140"/>
      <c r="G82" s="211" t="s">
        <v>1324</v>
      </c>
      <c r="H82" s="140"/>
      <c r="I82" s="211" t="s">
        <v>1324</v>
      </c>
      <c r="J82" s="140"/>
      <c r="K82" s="211"/>
      <c r="L82" s="212"/>
      <c r="M82" s="241" t="s">
        <v>2</v>
      </c>
      <c r="N82" s="241" t="s">
        <v>1403</v>
      </c>
    </row>
    <row r="83" spans="1:14" s="155" customFormat="1">
      <c r="A83" s="208" t="s">
        <v>1576</v>
      </c>
      <c r="B83" s="209" t="s">
        <v>1518</v>
      </c>
      <c r="C83" s="210" t="str">
        <f>IF(AND('Server PICS'!I$33="Yes",'Server PICS'!I$40="Yes"),"Yes","No")</f>
        <v>No</v>
      </c>
      <c r="D83" s="140" t="s">
        <v>71</v>
      </c>
      <c r="E83" s="211" t="s">
        <v>236</v>
      </c>
      <c r="F83" s="140" t="s">
        <v>1124</v>
      </c>
      <c r="G83" s="211" t="s">
        <v>239</v>
      </c>
      <c r="H83" s="140"/>
      <c r="I83" s="211" t="s">
        <v>1324</v>
      </c>
      <c r="J83" s="140"/>
      <c r="K83" s="211"/>
      <c r="L83" s="212"/>
      <c r="M83" s="241" t="s">
        <v>2</v>
      </c>
      <c r="N83" s="241" t="s">
        <v>1403</v>
      </c>
    </row>
    <row r="84" spans="1:14" s="155" customFormat="1">
      <c r="A84" s="208" t="s">
        <v>1577</v>
      </c>
      <c r="B84" s="209" t="s">
        <v>1518</v>
      </c>
      <c r="C84" s="210" t="str">
        <f>IF(AND('Server PICS'!I$33="Yes",'Server PICS'!I$40="Yes"),"Yes","No")</f>
        <v>No</v>
      </c>
      <c r="D84" s="140" t="s">
        <v>71</v>
      </c>
      <c r="E84" s="211" t="s">
        <v>236</v>
      </c>
      <c r="F84" s="140" t="s">
        <v>1124</v>
      </c>
      <c r="G84" s="211" t="s">
        <v>239</v>
      </c>
      <c r="H84" s="140"/>
      <c r="I84" s="211" t="s">
        <v>1324</v>
      </c>
      <c r="J84" s="140"/>
      <c r="K84" s="211"/>
      <c r="L84" s="212"/>
      <c r="M84" s="241" t="s">
        <v>2</v>
      </c>
      <c r="N84" s="241" t="s">
        <v>1403</v>
      </c>
    </row>
    <row r="85" spans="1:14" s="155" customFormat="1">
      <c r="A85" s="208" t="s">
        <v>1590</v>
      </c>
      <c r="B85" s="209" t="s">
        <v>1518</v>
      </c>
      <c r="C85" s="210" t="str">
        <f>IF(AND('Server PICS'!I$33="Yes",'Server PICS'!I$41="Yes"),"Yes","No")</f>
        <v>No</v>
      </c>
      <c r="D85" s="140" t="s">
        <v>71</v>
      </c>
      <c r="E85" s="211" t="s">
        <v>236</v>
      </c>
      <c r="F85" s="140" t="s">
        <v>1124</v>
      </c>
      <c r="G85" s="211" t="s">
        <v>240</v>
      </c>
      <c r="H85" s="140"/>
      <c r="I85" s="211" t="s">
        <v>1324</v>
      </c>
      <c r="J85" s="140"/>
      <c r="K85" s="211"/>
      <c r="L85" s="212"/>
      <c r="M85" s="241" t="s">
        <v>2</v>
      </c>
      <c r="N85" s="241" t="s">
        <v>1403</v>
      </c>
    </row>
    <row r="86" spans="1:14" s="155" customFormat="1">
      <c r="A86" s="208" t="s">
        <v>1591</v>
      </c>
      <c r="B86" s="209" t="s">
        <v>1518</v>
      </c>
      <c r="C86" s="210" t="str">
        <f>IF(AND('Server PICS'!I$33="Yes",'Server PICS'!I$41="Yes"),"Yes","No")</f>
        <v>No</v>
      </c>
      <c r="D86" s="140" t="s">
        <v>71</v>
      </c>
      <c r="E86" s="211" t="s">
        <v>236</v>
      </c>
      <c r="F86" s="140" t="s">
        <v>1124</v>
      </c>
      <c r="G86" s="211" t="s">
        <v>240</v>
      </c>
      <c r="H86" s="140"/>
      <c r="I86" s="211" t="s">
        <v>1324</v>
      </c>
      <c r="J86" s="140"/>
      <c r="K86" s="211"/>
      <c r="L86" s="212"/>
      <c r="M86" s="241" t="s">
        <v>2</v>
      </c>
      <c r="N86" s="241" t="s">
        <v>1403</v>
      </c>
    </row>
    <row r="87" spans="1:14" s="155" customFormat="1">
      <c r="A87" s="208" t="s">
        <v>1566</v>
      </c>
      <c r="B87" s="209" t="s">
        <v>1518</v>
      </c>
      <c r="C87" s="210" t="str">
        <f>IF('Server PICS'!I$34="Yes","Yes","No")</f>
        <v>No</v>
      </c>
      <c r="D87" s="140" t="s">
        <v>71</v>
      </c>
      <c r="E87" s="211" t="s">
        <v>237</v>
      </c>
      <c r="F87" s="140"/>
      <c r="G87" s="211" t="s">
        <v>1324</v>
      </c>
      <c r="H87" s="140"/>
      <c r="I87" s="211" t="s">
        <v>1324</v>
      </c>
      <c r="J87" s="140"/>
      <c r="K87" s="211"/>
      <c r="L87" s="212"/>
      <c r="M87" s="241" t="s">
        <v>2</v>
      </c>
      <c r="N87" s="241" t="s">
        <v>1403</v>
      </c>
    </row>
    <row r="88" spans="1:14" s="155" customFormat="1">
      <c r="A88" s="208" t="s">
        <v>1567</v>
      </c>
      <c r="B88" s="209" t="s">
        <v>1518</v>
      </c>
      <c r="C88" s="210" t="str">
        <f>IF('Server PICS'!I$34="Yes","Yes","No")</f>
        <v>No</v>
      </c>
      <c r="D88" s="140" t="s">
        <v>71</v>
      </c>
      <c r="E88" s="211" t="s">
        <v>237</v>
      </c>
      <c r="F88" s="140"/>
      <c r="G88" s="211" t="s">
        <v>1324</v>
      </c>
      <c r="H88" s="140"/>
      <c r="I88" s="211" t="s">
        <v>1324</v>
      </c>
      <c r="J88" s="140"/>
      <c r="K88" s="211"/>
      <c r="L88" s="212"/>
      <c r="M88" s="241" t="s">
        <v>2</v>
      </c>
      <c r="N88" s="241" t="s">
        <v>1403</v>
      </c>
    </row>
    <row r="89" spans="1:14" s="155" customFormat="1">
      <c r="A89" s="208" t="s">
        <v>1578</v>
      </c>
      <c r="B89" s="209" t="s">
        <v>1518</v>
      </c>
      <c r="C89" s="210" t="str">
        <f>IF(AND('Server PICS'!I$34="Yes",'Server PICS'!I$40="Yes"),"Yes","No")</f>
        <v>No</v>
      </c>
      <c r="D89" s="140" t="s">
        <v>71</v>
      </c>
      <c r="E89" s="211" t="s">
        <v>237</v>
      </c>
      <c r="F89" s="140" t="s">
        <v>1124</v>
      </c>
      <c r="G89" s="211" t="s">
        <v>239</v>
      </c>
      <c r="H89" s="140"/>
      <c r="I89" s="211" t="s">
        <v>1324</v>
      </c>
      <c r="J89" s="140"/>
      <c r="K89" s="211"/>
      <c r="L89" s="212"/>
      <c r="M89" s="241" t="s">
        <v>2</v>
      </c>
      <c r="N89" s="241" t="s">
        <v>1403</v>
      </c>
    </row>
    <row r="90" spans="1:14" s="155" customFormat="1">
      <c r="A90" s="208" t="s">
        <v>1579</v>
      </c>
      <c r="B90" s="209" t="s">
        <v>1518</v>
      </c>
      <c r="C90" s="210" t="str">
        <f>IF(AND('Server PICS'!I$34="Yes",'Server PICS'!I$40="Yes"),"Yes","No")</f>
        <v>No</v>
      </c>
      <c r="D90" s="140" t="s">
        <v>71</v>
      </c>
      <c r="E90" s="211" t="s">
        <v>237</v>
      </c>
      <c r="F90" s="140" t="s">
        <v>1124</v>
      </c>
      <c r="G90" s="211" t="s">
        <v>239</v>
      </c>
      <c r="H90" s="140"/>
      <c r="I90" s="211" t="s">
        <v>1324</v>
      </c>
      <c r="J90" s="140"/>
      <c r="K90" s="211"/>
      <c r="L90" s="212"/>
      <c r="M90" s="241" t="s">
        <v>2</v>
      </c>
      <c r="N90" s="241" t="s">
        <v>1403</v>
      </c>
    </row>
    <row r="91" spans="1:14" s="155" customFormat="1">
      <c r="A91" s="208" t="s">
        <v>1812</v>
      </c>
      <c r="B91" s="209" t="s">
        <v>1518</v>
      </c>
      <c r="C91" s="210" t="str">
        <f>IF(AND('Server PICS'!I$34="Yes",'Server PICS'!I$41="Yes"),"Yes","No")</f>
        <v>No</v>
      </c>
      <c r="D91" s="140" t="s">
        <v>71</v>
      </c>
      <c r="E91" s="211" t="s">
        <v>237</v>
      </c>
      <c r="F91" s="140" t="s">
        <v>1124</v>
      </c>
      <c r="G91" s="211" t="s">
        <v>240</v>
      </c>
      <c r="H91" s="140"/>
      <c r="I91" s="211" t="s">
        <v>1324</v>
      </c>
      <c r="J91" s="140"/>
      <c r="K91" s="211"/>
      <c r="L91" s="212"/>
      <c r="M91" s="241" t="s">
        <v>2</v>
      </c>
      <c r="N91" s="241" t="s">
        <v>1403</v>
      </c>
    </row>
    <row r="92" spans="1:14" s="155" customFormat="1">
      <c r="A92" s="208" t="s">
        <v>1592</v>
      </c>
      <c r="B92" s="209" t="s">
        <v>1518</v>
      </c>
      <c r="C92" s="210" t="str">
        <f>IF(AND('Server PICS'!I$34="Yes",'Server PICS'!I$41="Yes"),"Yes","No")</f>
        <v>No</v>
      </c>
      <c r="D92" s="140" t="s">
        <v>71</v>
      </c>
      <c r="E92" s="211" t="s">
        <v>237</v>
      </c>
      <c r="F92" s="140" t="s">
        <v>1124</v>
      </c>
      <c r="G92" s="211" t="s">
        <v>240</v>
      </c>
      <c r="H92" s="140"/>
      <c r="I92" s="211" t="s">
        <v>1324</v>
      </c>
      <c r="J92" s="140"/>
      <c r="K92" s="211"/>
      <c r="L92" s="212"/>
      <c r="M92" s="241" t="s">
        <v>2</v>
      </c>
      <c r="N92" s="241" t="s">
        <v>1403</v>
      </c>
    </row>
    <row r="93" spans="1:14" s="155" customFormat="1">
      <c r="A93" s="208" t="s">
        <v>945</v>
      </c>
      <c r="B93" s="209">
        <v>1.1000000000000001</v>
      </c>
      <c r="C93" s="210" t="str">
        <f>IF('Server PICS'!I$74="Yes","Yes","No")</f>
        <v>No</v>
      </c>
      <c r="D93" s="140" t="s">
        <v>3</v>
      </c>
      <c r="E93" s="211" t="s">
        <v>654</v>
      </c>
      <c r="F93" s="140"/>
      <c r="G93" s="211" t="s">
        <v>1324</v>
      </c>
      <c r="H93" s="140"/>
      <c r="I93" s="211" t="s">
        <v>1324</v>
      </c>
      <c r="J93" s="140"/>
      <c r="K93" s="211"/>
      <c r="L93" s="212"/>
      <c r="M93" s="241" t="s">
        <v>2</v>
      </c>
      <c r="N93" s="241" t="s">
        <v>1406</v>
      </c>
    </row>
    <row r="94" spans="1:14" s="155" customFormat="1">
      <c r="A94" s="208" t="s">
        <v>946</v>
      </c>
      <c r="B94" s="209" t="s">
        <v>1518</v>
      </c>
      <c r="C94" s="210" t="str">
        <f>IF('Server PICS'!I$74="Yes","Yes","No")</f>
        <v>No</v>
      </c>
      <c r="D94" s="140" t="s">
        <v>3</v>
      </c>
      <c r="E94" s="211" t="s">
        <v>654</v>
      </c>
      <c r="F94" s="140"/>
      <c r="G94" s="211" t="s">
        <v>1324</v>
      </c>
      <c r="H94" s="140"/>
      <c r="I94" s="211" t="s">
        <v>1324</v>
      </c>
      <c r="J94" s="140"/>
      <c r="K94" s="211"/>
      <c r="L94" s="212"/>
      <c r="M94" s="241" t="s">
        <v>2</v>
      </c>
      <c r="N94" s="241" t="s">
        <v>1406</v>
      </c>
    </row>
    <row r="95" spans="1:14" s="155" customFormat="1">
      <c r="A95" s="208" t="s">
        <v>947</v>
      </c>
      <c r="B95" s="209" t="s">
        <v>1518</v>
      </c>
      <c r="C95" s="210" t="str">
        <f>IF('Server PICS'!I$74="Yes","Yes","No")</f>
        <v>No</v>
      </c>
      <c r="D95" s="140" t="s">
        <v>3</v>
      </c>
      <c r="E95" s="211" t="s">
        <v>654</v>
      </c>
      <c r="F95" s="140"/>
      <c r="G95" s="211" t="s">
        <v>1324</v>
      </c>
      <c r="H95" s="140"/>
      <c r="I95" s="211" t="s">
        <v>1324</v>
      </c>
      <c r="J95" s="140"/>
      <c r="K95" s="211"/>
      <c r="L95" s="212"/>
      <c r="M95" s="241" t="s">
        <v>2</v>
      </c>
      <c r="N95" s="241" t="s">
        <v>1406</v>
      </c>
    </row>
    <row r="96" spans="1:14" s="155" customFormat="1">
      <c r="A96" s="208" t="s">
        <v>948</v>
      </c>
      <c r="B96" s="209" t="s">
        <v>1518</v>
      </c>
      <c r="C96" s="210" t="str">
        <f>IF('Server PICS'!I$74="Yes","Yes","No")</f>
        <v>No</v>
      </c>
      <c r="D96" s="140" t="s">
        <v>3</v>
      </c>
      <c r="E96" s="211" t="s">
        <v>654</v>
      </c>
      <c r="F96" s="140"/>
      <c r="G96" s="211" t="s">
        <v>1324</v>
      </c>
      <c r="H96" s="140"/>
      <c r="I96" s="211" t="s">
        <v>1324</v>
      </c>
      <c r="J96" s="140"/>
      <c r="K96" s="211"/>
      <c r="L96" s="212"/>
      <c r="M96" s="241" t="s">
        <v>2</v>
      </c>
      <c r="N96" s="241" t="s">
        <v>1406</v>
      </c>
    </row>
    <row r="97" spans="1:14" s="155" customFormat="1">
      <c r="A97" s="208" t="s">
        <v>949</v>
      </c>
      <c r="B97" s="209">
        <v>1.1000000000000001</v>
      </c>
      <c r="C97" s="210" t="str">
        <f>IF('Server PICS'!I$45="Yes","Yes","No")</f>
        <v>No</v>
      </c>
      <c r="D97" s="140" t="s">
        <v>3</v>
      </c>
      <c r="E97" s="211" t="s">
        <v>642</v>
      </c>
      <c r="F97" s="140"/>
      <c r="G97" s="211" t="s">
        <v>1324</v>
      </c>
      <c r="H97" s="140"/>
      <c r="I97" s="211" t="s">
        <v>1324</v>
      </c>
      <c r="J97" s="140"/>
      <c r="K97" s="211"/>
      <c r="L97" s="212"/>
      <c r="M97" s="241" t="s">
        <v>2</v>
      </c>
      <c r="N97" s="241" t="s">
        <v>1405</v>
      </c>
    </row>
    <row r="98" spans="1:14" s="155" customFormat="1">
      <c r="A98" s="208" t="s">
        <v>950</v>
      </c>
      <c r="B98" s="209">
        <v>1.1000000000000001</v>
      </c>
      <c r="C98" s="210" t="str">
        <f>IF('Server PICS'!I$45="Yes","Yes","No")</f>
        <v>No</v>
      </c>
      <c r="D98" s="140" t="s">
        <v>3</v>
      </c>
      <c r="E98" s="211" t="s">
        <v>642</v>
      </c>
      <c r="F98" s="140"/>
      <c r="G98" s="211" t="s">
        <v>1324</v>
      </c>
      <c r="H98" s="140"/>
      <c r="I98" s="211" t="s">
        <v>1324</v>
      </c>
      <c r="J98" s="140"/>
      <c r="K98" s="211"/>
      <c r="L98" s="212"/>
      <c r="M98" s="241" t="s">
        <v>2</v>
      </c>
      <c r="N98" s="241" t="s">
        <v>1405</v>
      </c>
    </row>
    <row r="99" spans="1:14" s="155" customFormat="1">
      <c r="A99" s="208" t="s">
        <v>951</v>
      </c>
      <c r="B99" s="209">
        <v>1.1000000000000001</v>
      </c>
      <c r="C99" s="210" t="str">
        <f>IF('Server PICS'!I$45="Yes","Yes","No")</f>
        <v>No</v>
      </c>
      <c r="D99" s="140" t="s">
        <v>3</v>
      </c>
      <c r="E99" s="211" t="s">
        <v>642</v>
      </c>
      <c r="F99" s="140"/>
      <c r="G99" s="211" t="s">
        <v>1324</v>
      </c>
      <c r="H99" s="140"/>
      <c r="I99" s="211" t="s">
        <v>1324</v>
      </c>
      <c r="J99" s="140"/>
      <c r="K99" s="211"/>
      <c r="L99" s="212"/>
      <c r="M99" s="241" t="s">
        <v>2</v>
      </c>
      <c r="N99" s="241" t="s">
        <v>1405</v>
      </c>
    </row>
    <row r="100" spans="1:14" s="155" customFormat="1">
      <c r="A100" s="208" t="s">
        <v>952</v>
      </c>
      <c r="B100" s="209">
        <v>1.1000000000000001</v>
      </c>
      <c r="C100" s="210" t="str">
        <f>IF('Server PICS'!I$45="Yes","Yes","No")</f>
        <v>No</v>
      </c>
      <c r="D100" s="140" t="s">
        <v>3</v>
      </c>
      <c r="E100" s="211" t="s">
        <v>642</v>
      </c>
      <c r="F100" s="140"/>
      <c r="G100" s="211" t="s">
        <v>1324</v>
      </c>
      <c r="H100" s="140"/>
      <c r="I100" s="211" t="s">
        <v>1324</v>
      </c>
      <c r="J100" s="140"/>
      <c r="K100" s="211"/>
      <c r="L100" s="212"/>
      <c r="M100" s="241" t="s">
        <v>2</v>
      </c>
      <c r="N100" s="241" t="s">
        <v>1405</v>
      </c>
    </row>
    <row r="101" spans="1:14" s="155" customFormat="1">
      <c r="A101" s="208" t="s">
        <v>953</v>
      </c>
      <c r="B101" s="209">
        <v>1.1000000000000001</v>
      </c>
      <c r="C101" s="210" t="str">
        <f>IF('Server PICS'!I$75="Yes","Yes","No")</f>
        <v>No</v>
      </c>
      <c r="D101" s="140" t="s">
        <v>71</v>
      </c>
      <c r="E101" s="211" t="s">
        <v>255</v>
      </c>
      <c r="F101" s="140"/>
      <c r="G101" s="211" t="s">
        <v>1324</v>
      </c>
      <c r="H101" s="140"/>
      <c r="I101" s="211" t="s">
        <v>1324</v>
      </c>
      <c r="J101" s="140"/>
      <c r="K101" s="211"/>
      <c r="L101" s="212"/>
      <c r="M101" s="241" t="s">
        <v>2</v>
      </c>
      <c r="N101" s="241" t="s">
        <v>539</v>
      </c>
    </row>
    <row r="102" spans="1:14" s="155" customFormat="1">
      <c r="A102" s="208" t="s">
        <v>954</v>
      </c>
      <c r="B102" s="209">
        <v>1.1000000000000001</v>
      </c>
      <c r="C102" s="210" t="str">
        <f>IF(AND('Server PICS'!I$75="Yes",'Server PICS'!I$76="Yes",NOT('Server PICS'!I$64="Yes"),NOT('Server PICS'!I$68="Yes")),"Yes","No")</f>
        <v>No</v>
      </c>
      <c r="D102" s="140" t="s">
        <v>71</v>
      </c>
      <c r="E102" s="211" t="s">
        <v>255</v>
      </c>
      <c r="F102" s="140" t="s">
        <v>1124</v>
      </c>
      <c r="G102" s="211" t="s">
        <v>256</v>
      </c>
      <c r="H102" s="140" t="s">
        <v>1315</v>
      </c>
      <c r="I102" s="211" t="s">
        <v>252</v>
      </c>
      <c r="J102" s="140" t="s">
        <v>1315</v>
      </c>
      <c r="K102" s="211" t="s">
        <v>253</v>
      </c>
      <c r="L102" s="212"/>
      <c r="M102" s="241" t="s">
        <v>2</v>
      </c>
      <c r="N102" s="241" t="s">
        <v>539</v>
      </c>
    </row>
    <row r="103" spans="1:14" s="155" customFormat="1">
      <c r="A103" s="208" t="s">
        <v>955</v>
      </c>
      <c r="B103" s="209">
        <v>1.1000000000000001</v>
      </c>
      <c r="C103" s="210" t="str">
        <f>IF(AND('Server PICS'!I$75="Yes",'Server PICS'!I$76="Yes",'Server PICS'!I$64="Yes",'Server PICS'!I$68="Yes"),"Yes","No")</f>
        <v>No</v>
      </c>
      <c r="D103" s="140" t="s">
        <v>71</v>
      </c>
      <c r="E103" s="211" t="s">
        <v>255</v>
      </c>
      <c r="F103" s="140" t="s">
        <v>1124</v>
      </c>
      <c r="G103" s="211" t="s">
        <v>256</v>
      </c>
      <c r="H103" s="140" t="s">
        <v>1124</v>
      </c>
      <c r="I103" s="211" t="s">
        <v>252</v>
      </c>
      <c r="J103" s="140" t="s">
        <v>1124</v>
      </c>
      <c r="K103" s="211" t="s">
        <v>253</v>
      </c>
      <c r="L103" s="212"/>
      <c r="M103" s="241" t="s">
        <v>2</v>
      </c>
      <c r="N103" s="241" t="s">
        <v>539</v>
      </c>
    </row>
    <row r="104" spans="1:14" s="155" customFormat="1">
      <c r="A104" s="208" t="s">
        <v>956</v>
      </c>
      <c r="B104" s="209">
        <v>1.1000000000000001</v>
      </c>
      <c r="C104" s="210" t="str">
        <f>IF('Server PICS'!I$75="Yes","Yes","No")</f>
        <v>No</v>
      </c>
      <c r="D104" s="140" t="s">
        <v>71</v>
      </c>
      <c r="E104" s="211" t="s">
        <v>255</v>
      </c>
      <c r="F104" s="140"/>
      <c r="G104" s="211" t="s">
        <v>1324</v>
      </c>
      <c r="H104" s="140"/>
      <c r="I104" s="211" t="s">
        <v>1324</v>
      </c>
      <c r="J104" s="140"/>
      <c r="K104" s="211"/>
      <c r="L104" s="212"/>
      <c r="M104" s="241" t="s">
        <v>2</v>
      </c>
      <c r="N104" s="241" t="s">
        <v>539</v>
      </c>
    </row>
    <row r="105" spans="1:14" s="155" customFormat="1">
      <c r="A105" s="208" t="s">
        <v>957</v>
      </c>
      <c r="B105" s="209">
        <v>1.1000000000000001</v>
      </c>
      <c r="C105" s="210" t="str">
        <f>IF('Server PICS'!I$77="Yes","Yes","No")</f>
        <v>No</v>
      </c>
      <c r="D105" s="140" t="s">
        <v>71</v>
      </c>
      <c r="E105" s="211" t="s">
        <v>257</v>
      </c>
      <c r="F105" s="140"/>
      <c r="G105" s="211" t="s">
        <v>1324</v>
      </c>
      <c r="H105" s="140"/>
      <c r="I105" s="211" t="s">
        <v>1324</v>
      </c>
      <c r="J105" s="140"/>
      <c r="K105" s="211"/>
      <c r="L105" s="212"/>
      <c r="M105" s="241" t="s">
        <v>2</v>
      </c>
      <c r="N105" s="241" t="s">
        <v>1407</v>
      </c>
    </row>
    <row r="106" spans="1:14" s="155" customFormat="1">
      <c r="A106" s="208" t="s">
        <v>958</v>
      </c>
      <c r="B106" s="209">
        <v>1.1000000000000001</v>
      </c>
      <c r="C106" s="210" t="str">
        <f>IF('Server PICS'!I$77="Yes","Yes","No")</f>
        <v>No</v>
      </c>
      <c r="D106" s="140" t="s">
        <v>71</v>
      </c>
      <c r="E106" s="211" t="s">
        <v>257</v>
      </c>
      <c r="F106" s="140"/>
      <c r="G106" s="211" t="s">
        <v>1324</v>
      </c>
      <c r="H106" s="140"/>
      <c r="I106" s="211" t="s">
        <v>1324</v>
      </c>
      <c r="J106" s="140"/>
      <c r="K106" s="211"/>
      <c r="L106" s="212"/>
      <c r="M106" s="241" t="s">
        <v>2</v>
      </c>
      <c r="N106" s="241" t="s">
        <v>1407</v>
      </c>
    </row>
    <row r="107" spans="1:14" s="155" customFormat="1">
      <c r="A107" s="208" t="s">
        <v>959</v>
      </c>
      <c r="B107" s="209">
        <v>1.1000000000000001</v>
      </c>
      <c r="C107" s="210" t="str">
        <f>IF('Server PICS'!I$77="Yes","Yes","No")</f>
        <v>No</v>
      </c>
      <c r="D107" s="140" t="s">
        <v>71</v>
      </c>
      <c r="E107" s="211" t="s">
        <v>257</v>
      </c>
      <c r="F107" s="140"/>
      <c r="G107" s="211" t="s">
        <v>1324</v>
      </c>
      <c r="H107" s="140"/>
      <c r="I107" s="211" t="s">
        <v>1324</v>
      </c>
      <c r="J107" s="140"/>
      <c r="K107" s="211"/>
      <c r="L107" s="212"/>
      <c r="M107" s="241" t="s">
        <v>2</v>
      </c>
      <c r="N107" s="241" t="s">
        <v>1407</v>
      </c>
    </row>
    <row r="108" spans="1:14" s="155" customFormat="1">
      <c r="A108" s="208" t="s">
        <v>960</v>
      </c>
      <c r="B108" s="209">
        <v>1.1000000000000001</v>
      </c>
      <c r="C108" s="210" t="str">
        <f>IF('Server PICS'!I$77="Yes","Yes","No")</f>
        <v>No</v>
      </c>
      <c r="D108" s="140" t="s">
        <v>71</v>
      </c>
      <c r="E108" s="211" t="s">
        <v>257</v>
      </c>
      <c r="F108" s="140"/>
      <c r="G108" s="211" t="s">
        <v>1324</v>
      </c>
      <c r="H108" s="140"/>
      <c r="I108" s="211" t="s">
        <v>1324</v>
      </c>
      <c r="J108" s="140"/>
      <c r="K108" s="211"/>
      <c r="L108" s="212"/>
      <c r="M108" s="241" t="s">
        <v>2</v>
      </c>
      <c r="N108" s="241" t="s">
        <v>1407</v>
      </c>
    </row>
    <row r="109" spans="1:14" s="155" customFormat="1">
      <c r="A109" s="208" t="s">
        <v>961</v>
      </c>
      <c r="B109" s="209">
        <v>1.1000000000000001</v>
      </c>
      <c r="C109" s="210" t="str">
        <f>IF('Server PICS'!I$78="Yes","Yes","No")</f>
        <v>No</v>
      </c>
      <c r="D109" s="140" t="s">
        <v>3</v>
      </c>
      <c r="E109" s="211" t="s">
        <v>655</v>
      </c>
      <c r="F109" s="140"/>
      <c r="G109" s="211" t="s">
        <v>1324</v>
      </c>
      <c r="H109" s="140"/>
      <c r="I109" s="211" t="s">
        <v>1324</v>
      </c>
      <c r="J109" s="140"/>
      <c r="K109" s="211"/>
      <c r="L109" s="212"/>
      <c r="M109" s="241" t="s">
        <v>2</v>
      </c>
      <c r="N109" s="241" t="s">
        <v>203</v>
      </c>
    </row>
    <row r="110" spans="1:14" s="155" customFormat="1">
      <c r="A110" s="208" t="s">
        <v>962</v>
      </c>
      <c r="B110" s="209" t="s">
        <v>1518</v>
      </c>
      <c r="C110" s="210" t="str">
        <f>IF('Server PICS'!I$79="Yes","Yes","No")</f>
        <v>No</v>
      </c>
      <c r="D110" s="140" t="s">
        <v>3</v>
      </c>
      <c r="E110" s="211" t="s">
        <v>258</v>
      </c>
      <c r="F110" s="140"/>
      <c r="G110" s="211" t="s">
        <v>1324</v>
      </c>
      <c r="H110" s="140"/>
      <c r="I110" s="211" t="s">
        <v>1324</v>
      </c>
      <c r="J110" s="140"/>
      <c r="K110" s="211"/>
      <c r="L110" s="212"/>
      <c r="M110" s="241" t="s">
        <v>2</v>
      </c>
      <c r="N110" s="241" t="s">
        <v>203</v>
      </c>
    </row>
    <row r="111" spans="1:14" s="155" customFormat="1">
      <c r="A111" s="208" t="s">
        <v>963</v>
      </c>
      <c r="B111" s="209">
        <v>1.1000000000000001</v>
      </c>
      <c r="C111" s="210" t="str">
        <f>IF('Server PICS'!I$80="Yes","Yes","No")</f>
        <v>No</v>
      </c>
      <c r="D111" s="140" t="s">
        <v>71</v>
      </c>
      <c r="E111" s="211" t="s">
        <v>259</v>
      </c>
      <c r="F111" s="140"/>
      <c r="G111" s="211" t="s">
        <v>1324</v>
      </c>
      <c r="H111" s="140"/>
      <c r="I111" s="211" t="s">
        <v>1324</v>
      </c>
      <c r="J111" s="140"/>
      <c r="K111" s="211"/>
      <c r="L111" s="212"/>
      <c r="M111" s="241" t="s">
        <v>2</v>
      </c>
      <c r="N111" s="241" t="s">
        <v>203</v>
      </c>
    </row>
    <row r="112" spans="1:14" s="155" customFormat="1">
      <c r="A112" s="208" t="s">
        <v>964</v>
      </c>
      <c r="B112" s="209">
        <v>1.1000000000000001</v>
      </c>
      <c r="C112" s="210" t="str">
        <f>IF('Server PICS'!I$81="Yes","Yes","No")</f>
        <v>No</v>
      </c>
      <c r="D112" s="140" t="s">
        <v>71</v>
      </c>
      <c r="E112" s="211" t="s">
        <v>260</v>
      </c>
      <c r="F112" s="140"/>
      <c r="G112" s="211" t="s">
        <v>1324</v>
      </c>
      <c r="H112" s="140"/>
      <c r="I112" s="211" t="s">
        <v>1324</v>
      </c>
      <c r="J112" s="140"/>
      <c r="K112" s="211"/>
      <c r="L112" s="212"/>
      <c r="M112" s="241" t="s">
        <v>2</v>
      </c>
      <c r="N112" s="241" t="s">
        <v>203</v>
      </c>
    </row>
    <row r="113" spans="1:14" s="155" customFormat="1">
      <c r="A113" s="208" t="s">
        <v>965</v>
      </c>
      <c r="B113" s="209">
        <v>1.1000000000000001</v>
      </c>
      <c r="C113" s="210" t="str">
        <f>IF('Server PICS'!I$82="Yes","Yes","No")</f>
        <v>No</v>
      </c>
      <c r="D113" s="140" t="s">
        <v>71</v>
      </c>
      <c r="E113" s="211" t="s">
        <v>261</v>
      </c>
      <c r="F113" s="140"/>
      <c r="G113" s="211" t="s">
        <v>1324</v>
      </c>
      <c r="H113" s="140"/>
      <c r="I113" s="211" t="s">
        <v>1324</v>
      </c>
      <c r="J113" s="140"/>
      <c r="K113" s="211"/>
      <c r="L113" s="212"/>
      <c r="M113" s="241" t="s">
        <v>2</v>
      </c>
      <c r="N113" s="241" t="s">
        <v>203</v>
      </c>
    </row>
    <row r="114" spans="1:14" s="155" customFormat="1">
      <c r="A114" s="208" t="s">
        <v>966</v>
      </c>
      <c r="B114" s="209" t="s">
        <v>1518</v>
      </c>
      <c r="C114" s="210" t="str">
        <f>IF('Server PICS'!I$83="Yes","Yes","No")</f>
        <v>No</v>
      </c>
      <c r="D114" s="140" t="s">
        <v>3</v>
      </c>
      <c r="E114" s="211" t="s">
        <v>731</v>
      </c>
      <c r="F114" s="140"/>
      <c r="G114" s="211" t="s">
        <v>1324</v>
      </c>
      <c r="H114" s="140"/>
      <c r="I114" s="211" t="s">
        <v>1324</v>
      </c>
      <c r="J114" s="140"/>
      <c r="K114" s="211"/>
      <c r="L114" s="212"/>
      <c r="M114" s="241" t="s">
        <v>2</v>
      </c>
      <c r="N114" s="241" t="s">
        <v>203</v>
      </c>
    </row>
    <row r="115" spans="1:14" s="155" customFormat="1">
      <c r="A115" s="208" t="s">
        <v>967</v>
      </c>
      <c r="B115" s="209">
        <v>1.1000000000000001</v>
      </c>
      <c r="C115" s="210" t="str">
        <f>IF('Server PICS'!I$86="Yes","Yes","No")</f>
        <v>No</v>
      </c>
      <c r="D115" s="140" t="s">
        <v>71</v>
      </c>
      <c r="E115" s="211" t="s">
        <v>263</v>
      </c>
      <c r="F115" s="140"/>
      <c r="G115" s="211" t="s">
        <v>1324</v>
      </c>
      <c r="H115" s="140"/>
      <c r="I115" s="211" t="s">
        <v>1324</v>
      </c>
      <c r="J115" s="140"/>
      <c r="K115" s="211"/>
      <c r="L115" s="212"/>
      <c r="M115" s="241" t="s">
        <v>2</v>
      </c>
      <c r="N115" s="241" t="s">
        <v>203</v>
      </c>
    </row>
    <row r="116" spans="1:14" s="155" customFormat="1">
      <c r="A116" s="208" t="s">
        <v>968</v>
      </c>
      <c r="B116" s="209">
        <v>1.1000000000000001</v>
      </c>
      <c r="C116" s="210" t="str">
        <f>IF('Server PICS'!I$78="Yes","Yes","No")</f>
        <v>No</v>
      </c>
      <c r="D116" s="140" t="s">
        <v>3</v>
      </c>
      <c r="E116" s="211" t="s">
        <v>655</v>
      </c>
      <c r="F116" s="140"/>
      <c r="G116" s="211" t="s">
        <v>1324</v>
      </c>
      <c r="H116" s="140"/>
      <c r="I116" s="211" t="s">
        <v>1324</v>
      </c>
      <c r="J116" s="140"/>
      <c r="K116" s="211"/>
      <c r="L116" s="212"/>
      <c r="M116" s="241" t="s">
        <v>2</v>
      </c>
      <c r="N116" s="241" t="s">
        <v>203</v>
      </c>
    </row>
    <row r="117" spans="1:14" s="155" customFormat="1">
      <c r="A117" s="208" t="s">
        <v>969</v>
      </c>
      <c r="B117" s="209">
        <v>1.1000000000000001</v>
      </c>
      <c r="C117" s="210" t="str">
        <f>IF('Server PICS'!I$85="Yes","Yes","No")</f>
        <v>No</v>
      </c>
      <c r="D117" s="140" t="s">
        <v>71</v>
      </c>
      <c r="E117" s="211" t="s">
        <v>262</v>
      </c>
      <c r="F117" s="140"/>
      <c r="G117" s="211" t="s">
        <v>1324</v>
      </c>
      <c r="H117" s="140"/>
      <c r="I117" s="211" t="s">
        <v>1324</v>
      </c>
      <c r="J117" s="140"/>
      <c r="K117" s="211"/>
      <c r="L117" s="212"/>
      <c r="M117" s="241" t="s">
        <v>2</v>
      </c>
      <c r="N117" s="241" t="s">
        <v>203</v>
      </c>
    </row>
    <row r="118" spans="1:14" s="155" customFormat="1">
      <c r="A118" s="208" t="s">
        <v>970</v>
      </c>
      <c r="B118" s="209" t="s">
        <v>1518</v>
      </c>
      <c r="C118" s="210" t="str">
        <f>IF('Server PICS'!I$78="Yes","Yes","No")</f>
        <v>No</v>
      </c>
      <c r="D118" s="140" t="s">
        <v>3</v>
      </c>
      <c r="E118" s="211" t="s">
        <v>655</v>
      </c>
      <c r="F118" s="140"/>
      <c r="G118" s="211" t="s">
        <v>1324</v>
      </c>
      <c r="H118" s="140"/>
      <c r="I118" s="211" t="s">
        <v>1324</v>
      </c>
      <c r="J118" s="140"/>
      <c r="K118" s="211"/>
      <c r="L118" s="212"/>
      <c r="M118" s="241" t="s">
        <v>2</v>
      </c>
      <c r="N118" s="241" t="s">
        <v>203</v>
      </c>
    </row>
    <row r="119" spans="1:14" s="155" customFormat="1">
      <c r="A119" s="208" t="s">
        <v>971</v>
      </c>
      <c r="B119" s="209">
        <v>1.1000000000000001</v>
      </c>
      <c r="C119" s="210" t="str">
        <f>IF('Server PICS'!I$88="Yes","Yes","No")</f>
        <v>No</v>
      </c>
      <c r="D119" s="140" t="s">
        <v>71</v>
      </c>
      <c r="E119" s="211" t="s">
        <v>265</v>
      </c>
      <c r="F119" s="140"/>
      <c r="G119" s="211" t="s">
        <v>1324</v>
      </c>
      <c r="H119" s="140"/>
      <c r="I119" s="211" t="s">
        <v>1324</v>
      </c>
      <c r="J119" s="140"/>
      <c r="K119" s="211"/>
      <c r="L119" s="212"/>
      <c r="M119" s="241" t="s">
        <v>2</v>
      </c>
      <c r="N119" s="241" t="s">
        <v>1408</v>
      </c>
    </row>
    <row r="120" spans="1:14" s="155" customFormat="1">
      <c r="A120" s="208" t="s">
        <v>972</v>
      </c>
      <c r="B120" s="209">
        <v>1.1000000000000001</v>
      </c>
      <c r="C120" s="210" t="str">
        <f>IF('Server PICS'!I$88="Yes","Yes","No")</f>
        <v>No</v>
      </c>
      <c r="D120" s="140" t="s">
        <v>71</v>
      </c>
      <c r="E120" s="211" t="s">
        <v>265</v>
      </c>
      <c r="F120" s="140"/>
      <c r="G120" s="211" t="s">
        <v>1324</v>
      </c>
      <c r="H120" s="140"/>
      <c r="I120" s="211" t="s">
        <v>1324</v>
      </c>
      <c r="J120" s="140"/>
      <c r="K120" s="211"/>
      <c r="L120" s="212"/>
      <c r="M120" s="241" t="s">
        <v>2</v>
      </c>
      <c r="N120" s="241" t="s">
        <v>1408</v>
      </c>
    </row>
    <row r="121" spans="1:14" s="155" customFormat="1">
      <c r="A121" s="208" t="s">
        <v>973</v>
      </c>
      <c r="B121" s="209">
        <v>1.1000000000000001</v>
      </c>
      <c r="C121" s="210" t="str">
        <f>IF('Server PICS'!I$88="Yes","Yes","No")</f>
        <v>No</v>
      </c>
      <c r="D121" s="140" t="s">
        <v>71</v>
      </c>
      <c r="E121" s="211" t="s">
        <v>265</v>
      </c>
      <c r="F121" s="140"/>
      <c r="G121" s="211" t="s">
        <v>1324</v>
      </c>
      <c r="H121" s="140"/>
      <c r="I121" s="211" t="s">
        <v>1324</v>
      </c>
      <c r="J121" s="140"/>
      <c r="K121" s="211"/>
      <c r="L121" s="212"/>
      <c r="M121" s="241" t="s">
        <v>2</v>
      </c>
      <c r="N121" s="241" t="s">
        <v>1408</v>
      </c>
    </row>
    <row r="122" spans="1:14" s="155" customFormat="1">
      <c r="A122" s="208" t="s">
        <v>974</v>
      </c>
      <c r="B122" s="209">
        <v>1.1000000000000001</v>
      </c>
      <c r="C122" s="210" t="str">
        <f>IF('Server PICS'!I$89="Yes","Yes","No")</f>
        <v>No</v>
      </c>
      <c r="D122" s="140" t="s">
        <v>3</v>
      </c>
      <c r="E122" s="211" t="s">
        <v>730</v>
      </c>
      <c r="F122" s="140"/>
      <c r="G122" s="211" t="s">
        <v>1324</v>
      </c>
      <c r="H122" s="140"/>
      <c r="I122" s="211" t="s">
        <v>1324</v>
      </c>
      <c r="J122" s="140"/>
      <c r="K122" s="211"/>
      <c r="L122" s="212"/>
      <c r="M122" s="241" t="s">
        <v>2</v>
      </c>
      <c r="N122" s="241" t="s">
        <v>1409</v>
      </c>
    </row>
    <row r="123" spans="1:14" s="155" customFormat="1">
      <c r="A123" s="208" t="s">
        <v>975</v>
      </c>
      <c r="B123" s="209">
        <v>1.1000000000000001</v>
      </c>
      <c r="C123" s="210" t="str">
        <f>IF(AND('Server PICS'!I$86="Yes",'Server PICS'!I$87="Yes"),"Yes","No")</f>
        <v>No</v>
      </c>
      <c r="D123" s="140" t="s">
        <v>71</v>
      </c>
      <c r="E123" s="211" t="s">
        <v>263</v>
      </c>
      <c r="F123" s="140" t="s">
        <v>1124</v>
      </c>
      <c r="G123" s="211" t="s">
        <v>264</v>
      </c>
      <c r="H123" s="140"/>
      <c r="I123" s="211" t="s">
        <v>1324</v>
      </c>
      <c r="J123" s="140"/>
      <c r="K123" s="211"/>
      <c r="L123" s="212"/>
      <c r="M123" s="241" t="s">
        <v>2</v>
      </c>
      <c r="N123" s="241" t="s">
        <v>1409</v>
      </c>
    </row>
    <row r="124" spans="1:14" s="155" customFormat="1">
      <c r="A124" s="208" t="s">
        <v>1992</v>
      </c>
      <c r="B124" s="209" t="s">
        <v>1849</v>
      </c>
      <c r="C124" s="210" t="str">
        <f>IF('Server PICS'!I$89="Yes","Yes","No")</f>
        <v>No</v>
      </c>
      <c r="D124" s="140" t="s">
        <v>3</v>
      </c>
      <c r="E124" s="211" t="s">
        <v>730</v>
      </c>
      <c r="F124" s="140"/>
      <c r="G124" s="211"/>
      <c r="H124" s="140"/>
      <c r="I124" s="211" t="s">
        <v>1324</v>
      </c>
      <c r="J124" s="140"/>
      <c r="K124" s="211"/>
      <c r="L124" s="212"/>
      <c r="M124" s="241" t="s">
        <v>2</v>
      </c>
      <c r="N124" s="241" t="s">
        <v>1409</v>
      </c>
    </row>
    <row r="125" spans="1:14" s="155" customFormat="1">
      <c r="A125" s="208" t="s">
        <v>1993</v>
      </c>
      <c r="B125" s="209" t="s">
        <v>1849</v>
      </c>
      <c r="C125" s="210" t="str">
        <f>IF('Server PICS'!I$89="Yes","Yes","No")</f>
        <v>No</v>
      </c>
      <c r="D125" s="140" t="s">
        <v>3</v>
      </c>
      <c r="E125" s="211" t="s">
        <v>730</v>
      </c>
      <c r="F125" s="140"/>
      <c r="G125" s="211"/>
      <c r="H125" s="140"/>
      <c r="I125" s="211" t="s">
        <v>1324</v>
      </c>
      <c r="J125" s="140"/>
      <c r="K125" s="211"/>
      <c r="L125" s="212"/>
      <c r="M125" s="241" t="s">
        <v>2</v>
      </c>
      <c r="N125" s="241" t="s">
        <v>1409</v>
      </c>
    </row>
    <row r="126" spans="1:14" s="155" customFormat="1">
      <c r="A126" s="208" t="s">
        <v>976</v>
      </c>
      <c r="B126" s="209" t="s">
        <v>1518</v>
      </c>
      <c r="C126" s="210" t="str">
        <f>IF('Server PICS'!I$93="Yes","Yes","No")</f>
        <v>No</v>
      </c>
      <c r="D126" s="140" t="s">
        <v>3</v>
      </c>
      <c r="E126" s="211" t="s">
        <v>484</v>
      </c>
      <c r="F126" s="140"/>
      <c r="G126" s="211" t="s">
        <v>1324</v>
      </c>
      <c r="H126" s="140"/>
      <c r="I126" s="211" t="s">
        <v>1324</v>
      </c>
      <c r="J126" s="140"/>
      <c r="K126" s="211"/>
      <c r="L126" s="212"/>
      <c r="M126" s="241" t="s">
        <v>2</v>
      </c>
      <c r="N126" s="241" t="s">
        <v>1409</v>
      </c>
    </row>
    <row r="127" spans="1:14" s="155" customFormat="1">
      <c r="A127" s="208" t="s">
        <v>977</v>
      </c>
      <c r="B127" s="209" t="s">
        <v>1518</v>
      </c>
      <c r="C127" s="210" t="str">
        <f>IF('Server PICS'!I$93="Yes","Yes","No")</f>
        <v>No</v>
      </c>
      <c r="D127" s="140" t="s">
        <v>3</v>
      </c>
      <c r="E127" s="211" t="s">
        <v>484</v>
      </c>
      <c r="F127" s="140"/>
      <c r="G127" s="211" t="s">
        <v>1324</v>
      </c>
      <c r="H127" s="140"/>
      <c r="I127" s="211" t="s">
        <v>1324</v>
      </c>
      <c r="J127" s="140"/>
      <c r="K127" s="211"/>
      <c r="L127" s="212"/>
      <c r="M127" s="241" t="s">
        <v>2</v>
      </c>
      <c r="N127" s="241" t="s">
        <v>1409</v>
      </c>
    </row>
    <row r="128" spans="1:14" s="155" customFormat="1">
      <c r="A128" s="208" t="s">
        <v>1994</v>
      </c>
      <c r="B128" s="209" t="s">
        <v>1849</v>
      </c>
      <c r="C128" s="210" t="str">
        <f>IF('Server PICS'!I$95="Yes","Yes","No")</f>
        <v>No</v>
      </c>
      <c r="D128" s="140" t="s">
        <v>71</v>
      </c>
      <c r="E128" s="138" t="s">
        <v>1997</v>
      </c>
      <c r="F128" s="140"/>
      <c r="G128" s="211" t="s">
        <v>1324</v>
      </c>
      <c r="H128" s="140"/>
      <c r="I128" s="211" t="s">
        <v>1324</v>
      </c>
      <c r="J128" s="140"/>
      <c r="K128" s="211"/>
      <c r="L128" s="212"/>
      <c r="M128" s="241" t="s">
        <v>2</v>
      </c>
      <c r="N128" s="241" t="s">
        <v>1409</v>
      </c>
    </row>
    <row r="129" spans="1:14" s="155" customFormat="1">
      <c r="A129" s="208" t="s">
        <v>978</v>
      </c>
      <c r="B129" s="209">
        <v>1.1000000000000001</v>
      </c>
      <c r="C129" s="210" t="str">
        <f>IF('Server PICS'!I$96="Yes","Yes","No")</f>
        <v>No</v>
      </c>
      <c r="D129" s="140" t="s">
        <v>71</v>
      </c>
      <c r="E129" s="211" t="s">
        <v>269</v>
      </c>
      <c r="F129" s="140"/>
      <c r="G129" s="211" t="s">
        <v>1324</v>
      </c>
      <c r="H129" s="140"/>
      <c r="I129" s="211" t="s">
        <v>1324</v>
      </c>
      <c r="J129" s="140"/>
      <c r="K129" s="211"/>
      <c r="L129" s="212"/>
      <c r="M129" s="241" t="s">
        <v>2</v>
      </c>
      <c r="N129" s="241" t="s">
        <v>1410</v>
      </c>
    </row>
    <row r="130" spans="1:14" s="155" customFormat="1">
      <c r="A130" s="208" t="s">
        <v>979</v>
      </c>
      <c r="B130" s="209">
        <v>1.1000000000000001</v>
      </c>
      <c r="C130" s="210" t="str">
        <f>IF(AND('Server PICS'!I$96="Yes",'Server PICS'!I$98="Yes"),"Yes","No")</f>
        <v>No</v>
      </c>
      <c r="D130" s="140" t="s">
        <v>71</v>
      </c>
      <c r="E130" s="211" t="s">
        <v>269</v>
      </c>
      <c r="F130" s="140" t="s">
        <v>1124</v>
      </c>
      <c r="G130" s="138" t="s">
        <v>1885</v>
      </c>
      <c r="H130" s="140"/>
      <c r="I130" s="211" t="s">
        <v>1324</v>
      </c>
      <c r="J130" s="140"/>
      <c r="K130" s="211"/>
      <c r="L130" s="212"/>
      <c r="M130" s="241" t="s">
        <v>2</v>
      </c>
      <c r="N130" s="241" t="s">
        <v>1410</v>
      </c>
    </row>
    <row r="131" spans="1:14" s="155" customFormat="1">
      <c r="A131" s="208" t="s">
        <v>980</v>
      </c>
      <c r="B131" s="209" t="s">
        <v>929</v>
      </c>
      <c r="C131" s="210" t="str">
        <f>IF(OR('Server PICS'!I$110="Yes",'Server PICS'!I$111="Yes",'Server PICS'!I$109="Yes",'Server PICS'!I$113="Yes"),"Yes","No")</f>
        <v>No</v>
      </c>
      <c r="D131" s="140" t="s">
        <v>71</v>
      </c>
      <c r="E131" s="211" t="s">
        <v>426</v>
      </c>
      <c r="F131" s="140" t="s">
        <v>1314</v>
      </c>
      <c r="G131" s="211" t="s">
        <v>494</v>
      </c>
      <c r="H131" s="140" t="s">
        <v>1314</v>
      </c>
      <c r="I131" s="211" t="s">
        <v>718</v>
      </c>
      <c r="J131" s="140" t="s">
        <v>1314</v>
      </c>
      <c r="K131" s="211" t="s">
        <v>493</v>
      </c>
      <c r="L131" s="212"/>
      <c r="M131" s="241" t="s">
        <v>2</v>
      </c>
      <c r="N131" s="241" t="s">
        <v>1411</v>
      </c>
    </row>
    <row r="132" spans="1:14" s="155" customFormat="1">
      <c r="A132" s="208" t="s">
        <v>981</v>
      </c>
      <c r="B132" s="209" t="s">
        <v>1518</v>
      </c>
      <c r="C132" s="210" t="str">
        <f>IF(OR('Server PICS'!I$110="Yes",'Server PICS'!I$108="Yes"),"Yes","No")</f>
        <v>No</v>
      </c>
      <c r="D132" s="140" t="s">
        <v>71</v>
      </c>
      <c r="E132" s="211" t="s">
        <v>426</v>
      </c>
      <c r="F132" s="140" t="s">
        <v>1314</v>
      </c>
      <c r="G132" s="211" t="s">
        <v>717</v>
      </c>
      <c r="H132" s="140"/>
      <c r="I132" s="211" t="s">
        <v>1324</v>
      </c>
      <c r="J132" s="140"/>
      <c r="K132" s="211"/>
      <c r="L132" s="212"/>
      <c r="M132" s="241" t="s">
        <v>2</v>
      </c>
      <c r="N132" s="241" t="s">
        <v>1411</v>
      </c>
    </row>
    <row r="133" spans="1:14" s="155" customFormat="1">
      <c r="A133" s="208" t="s">
        <v>982</v>
      </c>
      <c r="B133" s="209" t="s">
        <v>1518</v>
      </c>
      <c r="C133" s="210" t="str">
        <f>IF(OR('Server PICS'!I$110="Yes",'Server PICS'!I$108="Yes"),"Yes","No")</f>
        <v>No</v>
      </c>
      <c r="D133" s="140" t="s">
        <v>71</v>
      </c>
      <c r="E133" s="211" t="s">
        <v>426</v>
      </c>
      <c r="F133" s="140" t="s">
        <v>1314</v>
      </c>
      <c r="G133" s="211" t="s">
        <v>717</v>
      </c>
      <c r="H133" s="140"/>
      <c r="I133" s="211" t="s">
        <v>1324</v>
      </c>
      <c r="J133" s="140"/>
      <c r="K133" s="211"/>
      <c r="L133" s="212"/>
      <c r="M133" s="241" t="s">
        <v>2</v>
      </c>
      <c r="N133" s="241" t="s">
        <v>1411</v>
      </c>
    </row>
    <row r="134" spans="1:14" s="155" customFormat="1">
      <c r="A134" s="208" t="s">
        <v>983</v>
      </c>
      <c r="B134" s="209" t="s">
        <v>1849</v>
      </c>
      <c r="C134" s="210" t="str">
        <f>IF(AND('Server PICS'!I$112="Yes",'Server PICS'!I$113="Yes"),"Yes","No")</f>
        <v>No</v>
      </c>
      <c r="D134" s="140" t="s">
        <v>71</v>
      </c>
      <c r="E134" s="211" t="s">
        <v>427</v>
      </c>
      <c r="F134" s="140" t="s">
        <v>1124</v>
      </c>
      <c r="G134" s="211" t="s">
        <v>493</v>
      </c>
      <c r="H134" s="140"/>
      <c r="I134" s="211" t="s">
        <v>1324</v>
      </c>
      <c r="J134" s="140"/>
      <c r="K134" s="211"/>
      <c r="L134" s="212"/>
      <c r="M134" s="241" t="s">
        <v>2</v>
      </c>
      <c r="N134" s="241" t="s">
        <v>1411</v>
      </c>
    </row>
    <row r="135" spans="1:14" s="155" customFormat="1">
      <c r="A135" s="208" t="s">
        <v>984</v>
      </c>
      <c r="B135" s="209" t="s">
        <v>1518</v>
      </c>
      <c r="C135" s="210" t="str">
        <f>IF('Server PICS'!I$107="Yes","Yes","No")</f>
        <v>No</v>
      </c>
      <c r="D135" s="140" t="s">
        <v>3</v>
      </c>
      <c r="E135" s="211" t="s">
        <v>719</v>
      </c>
      <c r="F135" s="140"/>
      <c r="G135" s="211" t="s">
        <v>1324</v>
      </c>
      <c r="H135" s="140"/>
      <c r="I135" s="211" t="s">
        <v>1324</v>
      </c>
      <c r="J135" s="140"/>
      <c r="K135" s="211"/>
      <c r="L135" s="212"/>
      <c r="M135" s="241" t="s">
        <v>2</v>
      </c>
      <c r="N135" s="241" t="s">
        <v>1411</v>
      </c>
    </row>
    <row r="136" spans="1:14" s="155" customFormat="1">
      <c r="A136" s="208" t="s">
        <v>985</v>
      </c>
      <c r="B136" s="209" t="s">
        <v>1518</v>
      </c>
      <c r="C136" s="210" t="str">
        <f>IF(OR('Server PICS'!I$110="Yes",'Server PICS'!I$108="Yes"),"Yes","No")</f>
        <v>No</v>
      </c>
      <c r="D136" s="140" t="s">
        <v>71</v>
      </c>
      <c r="E136" s="211" t="s">
        <v>426</v>
      </c>
      <c r="F136" s="140" t="s">
        <v>1314</v>
      </c>
      <c r="G136" s="211" t="s">
        <v>717</v>
      </c>
      <c r="H136" s="140"/>
      <c r="I136" s="211" t="s">
        <v>1324</v>
      </c>
      <c r="J136" s="140"/>
      <c r="K136" s="211"/>
      <c r="L136" s="212"/>
      <c r="M136" s="241" t="s">
        <v>2</v>
      </c>
      <c r="N136" s="241" t="s">
        <v>1411</v>
      </c>
    </row>
    <row r="137" spans="1:14" s="155" customFormat="1">
      <c r="A137" s="208" t="s">
        <v>986</v>
      </c>
      <c r="B137" s="209" t="s">
        <v>1849</v>
      </c>
      <c r="C137" s="210" t="str">
        <f>IF(AND('Server PICS'!I$112="Yes",'Server PICS'!I$113="Yes"),"Yes","No")</f>
        <v>No</v>
      </c>
      <c r="D137" s="140" t="s">
        <v>71</v>
      </c>
      <c r="E137" s="211" t="s">
        <v>427</v>
      </c>
      <c r="F137" s="140" t="s">
        <v>1124</v>
      </c>
      <c r="G137" s="211" t="s">
        <v>493</v>
      </c>
      <c r="H137" s="140"/>
      <c r="I137" s="211" t="s">
        <v>1324</v>
      </c>
      <c r="J137" s="140"/>
      <c r="K137" s="211"/>
      <c r="L137" s="212"/>
      <c r="M137" s="241" t="s">
        <v>2</v>
      </c>
      <c r="N137" s="241" t="s">
        <v>1411</v>
      </c>
    </row>
    <row r="138" spans="1:14" s="155" customFormat="1">
      <c r="A138" s="208" t="s">
        <v>987</v>
      </c>
      <c r="B138" s="209" t="s">
        <v>1518</v>
      </c>
      <c r="C138" s="210" t="str">
        <f>IF('Server PICS'!I$107="Yes","Yes","No")</f>
        <v>No</v>
      </c>
      <c r="D138" s="140" t="s">
        <v>3</v>
      </c>
      <c r="E138" s="211" t="s">
        <v>719</v>
      </c>
      <c r="F138" s="140"/>
      <c r="G138" s="211" t="s">
        <v>1324</v>
      </c>
      <c r="H138" s="140"/>
      <c r="I138" s="211" t="s">
        <v>1324</v>
      </c>
      <c r="J138" s="140"/>
      <c r="K138" s="211"/>
      <c r="L138" s="212"/>
      <c r="M138" s="241" t="s">
        <v>2</v>
      </c>
      <c r="N138" s="241" t="s">
        <v>1411</v>
      </c>
    </row>
    <row r="139" spans="1:14" s="155" customFormat="1">
      <c r="A139" s="208" t="s">
        <v>988</v>
      </c>
      <c r="B139" s="209" t="s">
        <v>929</v>
      </c>
      <c r="C139" s="210" t="str">
        <f>IF('Server PICS'!I$115="Yes","Yes","No")</f>
        <v>No</v>
      </c>
      <c r="D139" s="140" t="s">
        <v>71</v>
      </c>
      <c r="E139" s="211" t="s">
        <v>278</v>
      </c>
      <c r="F139" s="140"/>
      <c r="G139" s="211" t="s">
        <v>1324</v>
      </c>
      <c r="H139" s="140"/>
      <c r="I139" s="211" t="s">
        <v>1324</v>
      </c>
      <c r="J139" s="140"/>
      <c r="K139" s="211"/>
      <c r="L139" s="212"/>
      <c r="M139" s="241" t="s">
        <v>2</v>
      </c>
      <c r="N139" s="241" t="s">
        <v>1412</v>
      </c>
    </row>
    <row r="140" spans="1:14" s="155" customFormat="1">
      <c r="A140" s="208" t="s">
        <v>989</v>
      </c>
      <c r="B140" s="209" t="s">
        <v>1518</v>
      </c>
      <c r="C140" s="210" t="str">
        <f>IF(AND('Server PICS'!I$115="Yes",'Server PICS'!I$112="Yes"),"Yes","No")</f>
        <v>No</v>
      </c>
      <c r="D140" s="140" t="s">
        <v>71</v>
      </c>
      <c r="E140" s="211" t="s">
        <v>278</v>
      </c>
      <c r="F140" s="140" t="s">
        <v>1124</v>
      </c>
      <c r="G140" s="211" t="s">
        <v>427</v>
      </c>
      <c r="H140" s="140"/>
      <c r="I140" s="211" t="s">
        <v>1324</v>
      </c>
      <c r="J140" s="140"/>
      <c r="K140" s="211"/>
      <c r="L140" s="212"/>
      <c r="M140" s="241" t="s">
        <v>2</v>
      </c>
      <c r="N140" s="241" t="s">
        <v>1412</v>
      </c>
    </row>
    <row r="141" spans="1:14" s="155" customFormat="1">
      <c r="A141" s="208" t="s">
        <v>990</v>
      </c>
      <c r="B141" s="209" t="s">
        <v>1518</v>
      </c>
      <c r="C141" s="210" t="str">
        <f>IF(AND('Server PICS'!I$115="Yes",'Server PICS'!I$112="Yes"),"Yes","No")</f>
        <v>No</v>
      </c>
      <c r="D141" s="140" t="s">
        <v>71</v>
      </c>
      <c r="E141" s="211" t="s">
        <v>278</v>
      </c>
      <c r="F141" s="140" t="s">
        <v>1124</v>
      </c>
      <c r="G141" s="211" t="s">
        <v>427</v>
      </c>
      <c r="H141" s="140"/>
      <c r="I141" s="211" t="s">
        <v>1324</v>
      </c>
      <c r="J141" s="140"/>
      <c r="K141" s="211"/>
      <c r="L141" s="212"/>
      <c r="M141" s="241" t="s">
        <v>2</v>
      </c>
      <c r="N141" s="241" t="s">
        <v>1412</v>
      </c>
    </row>
    <row r="142" spans="1:14" s="155" customFormat="1">
      <c r="A142" s="208" t="s">
        <v>2103</v>
      </c>
      <c r="B142" s="209" t="s">
        <v>2104</v>
      </c>
      <c r="C142" s="210" t="str">
        <f>IF('Server PICS'!I$115&lt;&gt;"Yes","Yes","No")</f>
        <v>Yes</v>
      </c>
      <c r="D142" s="140" t="s">
        <v>71</v>
      </c>
      <c r="E142" s="211" t="s">
        <v>278</v>
      </c>
      <c r="F142" s="140"/>
      <c r="G142" s="211"/>
      <c r="H142" s="140"/>
      <c r="I142" s="211"/>
      <c r="J142" s="140"/>
      <c r="K142" s="211"/>
      <c r="L142" s="212"/>
      <c r="M142" s="241" t="s">
        <v>2</v>
      </c>
      <c r="N142" s="241" t="s">
        <v>1434</v>
      </c>
    </row>
    <row r="143" spans="1:14" s="155" customFormat="1">
      <c r="A143" s="208" t="s">
        <v>991</v>
      </c>
      <c r="B143" s="209" t="s">
        <v>1849</v>
      </c>
      <c r="C143" s="210" t="str">
        <f>IF('Server PICS'!I$106="Yes","Yes","No")</f>
        <v>No</v>
      </c>
      <c r="D143" s="140" t="s">
        <v>3</v>
      </c>
      <c r="E143" s="211" t="s">
        <v>279</v>
      </c>
      <c r="F143" s="140"/>
      <c r="G143" s="211" t="s">
        <v>1324</v>
      </c>
      <c r="H143" s="140"/>
      <c r="I143" s="211" t="s">
        <v>1324</v>
      </c>
      <c r="J143" s="140"/>
      <c r="K143" s="211"/>
      <c r="L143" s="212"/>
      <c r="M143" s="241" t="s">
        <v>2</v>
      </c>
      <c r="N143" s="241" t="s">
        <v>1434</v>
      </c>
    </row>
    <row r="144" spans="1:14" s="155" customFormat="1">
      <c r="A144" s="208" t="s">
        <v>1523</v>
      </c>
      <c r="B144" s="209" t="s">
        <v>1518</v>
      </c>
      <c r="C144" s="210" t="str">
        <f>IF(AND('Server PICS'!I$171="Yes",'Server PICS'!I$99="Yes",'Server PICS'!I$105="Yes"),"Yes","No")</f>
        <v>No</v>
      </c>
      <c r="D144" s="140" t="s">
        <v>71</v>
      </c>
      <c r="E144" s="211" t="s">
        <v>308</v>
      </c>
      <c r="F144" s="140" t="s">
        <v>1124</v>
      </c>
      <c r="G144" s="211" t="s">
        <v>272</v>
      </c>
      <c r="H144" s="140" t="s">
        <v>1124</v>
      </c>
      <c r="I144" s="211" t="s">
        <v>271</v>
      </c>
      <c r="J144" s="140"/>
      <c r="K144" s="211"/>
      <c r="L144" s="212"/>
      <c r="M144" s="241" t="s">
        <v>2</v>
      </c>
      <c r="N144" s="241" t="s">
        <v>1756</v>
      </c>
    </row>
    <row r="145" spans="1:14" s="155" customFormat="1">
      <c r="A145" s="208" t="s">
        <v>1524</v>
      </c>
      <c r="B145" s="209" t="s">
        <v>1518</v>
      </c>
      <c r="C145" s="210" t="str">
        <f>IF(AND('Server PICS'!I$171="Yes",'Server PICS'!I$99="Yes",'Server PICS'!I$102="Yes"),"Yes","No")</f>
        <v>No</v>
      </c>
      <c r="D145" s="140" t="s">
        <v>71</v>
      </c>
      <c r="E145" s="211" t="s">
        <v>308</v>
      </c>
      <c r="F145" s="140" t="s">
        <v>1124</v>
      </c>
      <c r="G145" s="211" t="s">
        <v>272</v>
      </c>
      <c r="H145" s="140" t="s">
        <v>1124</v>
      </c>
      <c r="I145" s="211" t="s">
        <v>274</v>
      </c>
      <c r="J145" s="140"/>
      <c r="K145" s="211"/>
      <c r="L145" s="212"/>
      <c r="M145" s="241" t="s">
        <v>2</v>
      </c>
      <c r="N145" s="241" t="s">
        <v>1756</v>
      </c>
    </row>
    <row r="146" spans="1:14" s="155" customFormat="1">
      <c r="A146" s="208" t="s">
        <v>1525</v>
      </c>
      <c r="B146" s="209" t="s">
        <v>1518</v>
      </c>
      <c r="C146" s="210" t="str">
        <f>IF(AND('Server PICS'!I$171="Yes",'Server PICS'!I$99="Yes",'Server PICS'!I$103="Yes"),"Yes","No")</f>
        <v>No</v>
      </c>
      <c r="D146" s="140" t="s">
        <v>71</v>
      </c>
      <c r="E146" s="211" t="s">
        <v>308</v>
      </c>
      <c r="F146" s="140" t="s">
        <v>1124</v>
      </c>
      <c r="G146" s="211" t="s">
        <v>272</v>
      </c>
      <c r="H146" s="140" t="s">
        <v>1124</v>
      </c>
      <c r="I146" s="211" t="s">
        <v>275</v>
      </c>
      <c r="J146" s="140"/>
      <c r="K146" s="211"/>
      <c r="L146" s="212"/>
      <c r="M146" s="241" t="s">
        <v>2</v>
      </c>
      <c r="N146" s="241" t="s">
        <v>1756</v>
      </c>
    </row>
    <row r="147" spans="1:14" s="155" customFormat="1">
      <c r="A147" s="208" t="s">
        <v>1526</v>
      </c>
      <c r="B147" s="209" t="s">
        <v>1518</v>
      </c>
      <c r="C147" s="210" t="str">
        <f>IF(AND('Server PICS'!I$171="Yes",'Server PICS'!I$99="Yes",'Server PICS'!I$104="Yes"),"Yes","No")</f>
        <v>No</v>
      </c>
      <c r="D147" s="140" t="s">
        <v>71</v>
      </c>
      <c r="E147" s="211" t="s">
        <v>308</v>
      </c>
      <c r="F147" s="140" t="s">
        <v>1124</v>
      </c>
      <c r="G147" s="211" t="s">
        <v>272</v>
      </c>
      <c r="H147" s="140" t="s">
        <v>1124</v>
      </c>
      <c r="I147" s="211" t="s">
        <v>276</v>
      </c>
      <c r="J147" s="140"/>
      <c r="K147" s="211"/>
      <c r="L147" s="212"/>
      <c r="M147" s="241" t="s">
        <v>2</v>
      </c>
      <c r="N147" s="241" t="s">
        <v>1756</v>
      </c>
    </row>
    <row r="148" spans="1:14" s="155" customFormat="1">
      <c r="A148" s="208" t="s">
        <v>992</v>
      </c>
      <c r="B148" s="209" t="s">
        <v>2006</v>
      </c>
      <c r="C148" s="210" t="str">
        <f>IF(AND('Server PICS'!I$118="Yes",'Server PICS'!I$117="Yes"),"Yes","No")</f>
        <v>No</v>
      </c>
      <c r="D148" s="140" t="s">
        <v>71</v>
      </c>
      <c r="E148" s="211" t="s">
        <v>281</v>
      </c>
      <c r="F148" s="140" t="s">
        <v>1124</v>
      </c>
      <c r="G148" s="211" t="s">
        <v>1325</v>
      </c>
      <c r="H148" s="140"/>
      <c r="I148" s="211" t="s">
        <v>1324</v>
      </c>
      <c r="J148" s="140"/>
      <c r="K148" s="211"/>
      <c r="L148" s="212"/>
      <c r="M148" s="241" t="s">
        <v>129</v>
      </c>
      <c r="N148" s="241" t="s">
        <v>1415</v>
      </c>
    </row>
    <row r="149" spans="1:14" s="155" customFormat="1">
      <c r="A149" s="208" t="s">
        <v>993</v>
      </c>
      <c r="B149" s="209" t="s">
        <v>2006</v>
      </c>
      <c r="C149" s="210" t="str">
        <f>IF(AND('Server PICS'!I$119="Yes",'Server PICS'!I$117="Yes"),"Yes","No")</f>
        <v>No</v>
      </c>
      <c r="D149" s="140" t="s">
        <v>71</v>
      </c>
      <c r="E149" s="211" t="s">
        <v>282</v>
      </c>
      <c r="F149" s="140" t="s">
        <v>1124</v>
      </c>
      <c r="G149" s="211" t="s">
        <v>1325</v>
      </c>
      <c r="H149" s="140"/>
      <c r="I149" s="211" t="s">
        <v>1324</v>
      </c>
      <c r="J149" s="140"/>
      <c r="K149" s="211"/>
      <c r="L149" s="212"/>
      <c r="M149" s="241" t="s">
        <v>129</v>
      </c>
      <c r="N149" s="241" t="s">
        <v>1415</v>
      </c>
    </row>
    <row r="150" spans="1:14" s="155" customFormat="1">
      <c r="A150" s="208" t="s">
        <v>994</v>
      </c>
      <c r="B150" s="209" t="s">
        <v>2006</v>
      </c>
      <c r="C150" s="210" t="str">
        <f>IF('Server PICS'!I$117="Yes","Yes","No")</f>
        <v>No</v>
      </c>
      <c r="D150" s="140" t="s">
        <v>71</v>
      </c>
      <c r="E150" s="211" t="s">
        <v>1325</v>
      </c>
      <c r="F150" s="140"/>
      <c r="G150" s="211" t="s">
        <v>1324</v>
      </c>
      <c r="H150" s="140"/>
      <c r="I150" s="211" t="s">
        <v>1324</v>
      </c>
      <c r="J150" s="140"/>
      <c r="K150" s="211"/>
      <c r="L150" s="212"/>
      <c r="M150" s="241" t="s">
        <v>129</v>
      </c>
      <c r="N150" s="241" t="s">
        <v>1415</v>
      </c>
    </row>
    <row r="151" spans="1:14" s="155" customFormat="1">
      <c r="A151" s="208" t="s">
        <v>995</v>
      </c>
      <c r="B151" s="209" t="s">
        <v>2006</v>
      </c>
      <c r="C151" s="210" t="str">
        <f>IF('Server PICS'!I$124="Yes","Yes","No")</f>
        <v>No</v>
      </c>
      <c r="D151" s="140" t="s">
        <v>71</v>
      </c>
      <c r="E151" s="211" t="s">
        <v>285</v>
      </c>
      <c r="F151" s="140"/>
      <c r="G151" s="211" t="s">
        <v>1324</v>
      </c>
      <c r="H151" s="140"/>
      <c r="I151" s="211" t="s">
        <v>1324</v>
      </c>
      <c r="J151" s="140"/>
      <c r="K151" s="211"/>
      <c r="L151" s="212"/>
      <c r="M151" s="241" t="s">
        <v>129</v>
      </c>
      <c r="N151" s="241" t="s">
        <v>1415</v>
      </c>
    </row>
    <row r="152" spans="1:14" s="155" customFormat="1">
      <c r="A152" s="208" t="s">
        <v>996</v>
      </c>
      <c r="B152" s="209" t="s">
        <v>2006</v>
      </c>
      <c r="C152" s="210" t="str">
        <f>IF('Server PICS'!I$125="Yes","Yes","No")</f>
        <v>No</v>
      </c>
      <c r="D152" s="140" t="s">
        <v>71</v>
      </c>
      <c r="E152" s="211" t="s">
        <v>286</v>
      </c>
      <c r="F152" s="140"/>
      <c r="G152" s="211" t="s">
        <v>1324</v>
      </c>
      <c r="H152" s="140"/>
      <c r="I152" s="211" t="s">
        <v>1324</v>
      </c>
      <c r="J152" s="140"/>
      <c r="K152" s="211"/>
      <c r="L152" s="212"/>
      <c r="M152" s="241" t="s">
        <v>129</v>
      </c>
      <c r="N152" s="241" t="s">
        <v>1415</v>
      </c>
    </row>
    <row r="153" spans="1:14" s="155" customFormat="1">
      <c r="A153" s="208" t="s">
        <v>997</v>
      </c>
      <c r="B153" s="209" t="s">
        <v>2006</v>
      </c>
      <c r="C153" s="210" t="str">
        <f>IF('Server PICS'!I$126="Yes","Yes","No")</f>
        <v>No</v>
      </c>
      <c r="D153" s="140" t="s">
        <v>3</v>
      </c>
      <c r="E153" s="211" t="s">
        <v>658</v>
      </c>
      <c r="F153" s="140"/>
      <c r="G153" s="211" t="s">
        <v>1324</v>
      </c>
      <c r="H153" s="140"/>
      <c r="I153" s="211" t="s">
        <v>1324</v>
      </c>
      <c r="J153" s="140"/>
      <c r="K153" s="211"/>
      <c r="L153" s="212"/>
      <c r="M153" s="241" t="s">
        <v>129</v>
      </c>
      <c r="N153" s="241" t="s">
        <v>1415</v>
      </c>
    </row>
    <row r="154" spans="1:14" s="155" customFormat="1">
      <c r="A154" s="208" t="s">
        <v>998</v>
      </c>
      <c r="B154" s="209" t="s">
        <v>1824</v>
      </c>
      <c r="C154" s="210" t="str">
        <f>IF('Server PICS'!I$129="Yes","Yes","No")</f>
        <v>No</v>
      </c>
      <c r="D154" s="140" t="s">
        <v>71</v>
      </c>
      <c r="E154" s="211" t="s">
        <v>288</v>
      </c>
      <c r="F154" s="140"/>
      <c r="G154" s="211" t="s">
        <v>1324</v>
      </c>
      <c r="H154" s="140"/>
      <c r="I154" s="211" t="s">
        <v>1324</v>
      </c>
      <c r="J154" s="140"/>
      <c r="K154" s="211"/>
      <c r="L154" s="212"/>
      <c r="M154" s="241" t="s">
        <v>129</v>
      </c>
      <c r="N154" s="241" t="s">
        <v>1415</v>
      </c>
    </row>
    <row r="155" spans="1:14" s="155" customFormat="1">
      <c r="A155" s="208" t="s">
        <v>999</v>
      </c>
      <c r="B155" s="209">
        <v>1.1000000000000001</v>
      </c>
      <c r="C155" s="210" t="str">
        <f>IF('Server PICS'!I$130="Yes","Yes","No")</f>
        <v>No</v>
      </c>
      <c r="D155" s="140" t="s">
        <v>71</v>
      </c>
      <c r="E155" s="211" t="s">
        <v>289</v>
      </c>
      <c r="F155" s="140"/>
      <c r="G155" s="211" t="s">
        <v>1324</v>
      </c>
      <c r="H155" s="140"/>
      <c r="I155" s="211" t="s">
        <v>1324</v>
      </c>
      <c r="J155" s="140"/>
      <c r="K155" s="211"/>
      <c r="L155" s="212"/>
      <c r="M155" s="241" t="s">
        <v>129</v>
      </c>
      <c r="N155" s="241" t="s">
        <v>1415</v>
      </c>
    </row>
    <row r="156" spans="1:14" s="155" customFormat="1">
      <c r="A156" s="208" t="s">
        <v>1000</v>
      </c>
      <c r="B156" s="214" t="s">
        <v>2139</v>
      </c>
      <c r="C156" s="245" t="str">
        <f>IF(AND('Server PICS'!I$129="Yes",'Server PICS'!I$20="Yes"),"Yes","No")</f>
        <v>No</v>
      </c>
      <c r="D156" s="140" t="s">
        <v>71</v>
      </c>
      <c r="E156" s="211" t="s">
        <v>288</v>
      </c>
      <c r="F156" s="215" t="s">
        <v>1124</v>
      </c>
      <c r="G156" s="171" t="s">
        <v>2141</v>
      </c>
      <c r="H156" s="140"/>
      <c r="I156" s="211" t="s">
        <v>1324</v>
      </c>
      <c r="J156" s="140"/>
      <c r="K156" s="211"/>
      <c r="L156" s="212"/>
      <c r="M156" s="241" t="s">
        <v>129</v>
      </c>
      <c r="N156" s="241" t="s">
        <v>1398</v>
      </c>
    </row>
    <row r="157" spans="1:14" s="155" customFormat="1">
      <c r="A157" s="208" t="s">
        <v>1001</v>
      </c>
      <c r="B157" s="214" t="s">
        <v>2139</v>
      </c>
      <c r="C157" s="245" t="str">
        <f>IF(AND('Server PICS'!I$130="Yes",'Server PICS'!I$20="Yes"),"Yes","No")</f>
        <v>No</v>
      </c>
      <c r="D157" s="140" t="s">
        <v>71</v>
      </c>
      <c r="E157" s="211" t="s">
        <v>289</v>
      </c>
      <c r="F157" s="215" t="s">
        <v>1124</v>
      </c>
      <c r="G157" s="171" t="s">
        <v>2141</v>
      </c>
      <c r="H157" s="140"/>
      <c r="I157" s="211" t="s">
        <v>1324</v>
      </c>
      <c r="J157" s="140"/>
      <c r="K157" s="211"/>
      <c r="L157" s="212"/>
      <c r="M157" s="241" t="s">
        <v>129</v>
      </c>
      <c r="N157" s="241" t="s">
        <v>1398</v>
      </c>
    </row>
    <row r="158" spans="1:14" s="155" customFormat="1">
      <c r="A158" s="208" t="s">
        <v>1002</v>
      </c>
      <c r="B158" s="214" t="s">
        <v>2139</v>
      </c>
      <c r="C158" s="245" t="str">
        <f>IF(AND('Server PICS'!I$129="Yes",'Server PICS'!I$20="Yes"),"Yes","No")</f>
        <v>No</v>
      </c>
      <c r="D158" s="140" t="s">
        <v>71</v>
      </c>
      <c r="E158" s="211" t="s">
        <v>288</v>
      </c>
      <c r="F158" s="215" t="s">
        <v>1124</v>
      </c>
      <c r="G158" s="171" t="s">
        <v>2141</v>
      </c>
      <c r="H158" s="140"/>
      <c r="I158" s="211" t="s">
        <v>1324</v>
      </c>
      <c r="J158" s="140"/>
      <c r="K158" s="211"/>
      <c r="L158" s="212"/>
      <c r="M158" s="241" t="s">
        <v>129</v>
      </c>
      <c r="N158" s="241" t="s">
        <v>1398</v>
      </c>
    </row>
    <row r="159" spans="1:14" s="155" customFormat="1">
      <c r="A159" s="208" t="s">
        <v>1003</v>
      </c>
      <c r="B159" s="214" t="s">
        <v>2139</v>
      </c>
      <c r="C159" s="245" t="str">
        <f>IF(AND('Server PICS'!I$130="Yes",'Server PICS'!I$20="Yes"),"Yes","No")</f>
        <v>No</v>
      </c>
      <c r="D159" s="140" t="s">
        <v>71</v>
      </c>
      <c r="E159" s="211" t="s">
        <v>289</v>
      </c>
      <c r="F159" s="215" t="s">
        <v>1124</v>
      </c>
      <c r="G159" s="171" t="s">
        <v>2141</v>
      </c>
      <c r="H159" s="140"/>
      <c r="I159" s="211" t="s">
        <v>1324</v>
      </c>
      <c r="J159" s="140"/>
      <c r="K159" s="211"/>
      <c r="L159" s="212"/>
      <c r="M159" s="241" t="s">
        <v>129</v>
      </c>
      <c r="N159" s="241" t="s">
        <v>1398</v>
      </c>
    </row>
    <row r="160" spans="1:14" s="155" customFormat="1">
      <c r="A160" s="208" t="s">
        <v>1004</v>
      </c>
      <c r="B160" s="209" t="s">
        <v>1739</v>
      </c>
      <c r="C160" s="210" t="str">
        <f>IF('Server PICS'!I$117="Yes","Yes","No")</f>
        <v>No</v>
      </c>
      <c r="D160" s="140" t="s">
        <v>71</v>
      </c>
      <c r="E160" s="211" t="s">
        <v>280</v>
      </c>
      <c r="F160" s="140"/>
      <c r="G160" s="211" t="s">
        <v>1324</v>
      </c>
      <c r="H160" s="140"/>
      <c r="I160" s="211" t="s">
        <v>1324</v>
      </c>
      <c r="J160" s="140"/>
      <c r="K160" s="211"/>
      <c r="L160" s="212"/>
      <c r="M160" s="241" t="s">
        <v>129</v>
      </c>
      <c r="N160" s="241" t="s">
        <v>51</v>
      </c>
    </row>
    <row r="161" spans="1:14" s="155" customFormat="1">
      <c r="A161" s="208" t="s">
        <v>1006</v>
      </c>
      <c r="B161" s="209" t="s">
        <v>1739</v>
      </c>
      <c r="C161" s="210" t="str">
        <f>IF('Server PICS'!I$117="Yes","Yes","No")</f>
        <v>No</v>
      </c>
      <c r="D161" s="140" t="s">
        <v>71</v>
      </c>
      <c r="E161" s="211" t="s">
        <v>280</v>
      </c>
      <c r="F161" s="140"/>
      <c r="G161" s="211" t="s">
        <v>1324</v>
      </c>
      <c r="H161" s="140"/>
      <c r="I161" s="211" t="s">
        <v>1324</v>
      </c>
      <c r="J161" s="140"/>
      <c r="K161" s="211"/>
      <c r="L161" s="212"/>
      <c r="M161" s="241" t="s">
        <v>129</v>
      </c>
      <c r="N161" s="241" t="s">
        <v>51</v>
      </c>
    </row>
    <row r="162" spans="1:14" s="155" customFormat="1">
      <c r="A162" s="208" t="s">
        <v>1007</v>
      </c>
      <c r="B162" s="209" t="s">
        <v>1739</v>
      </c>
      <c r="C162" s="210" t="str">
        <f>IF('Server PICS'!I$117="Yes","Yes","No")</f>
        <v>No</v>
      </c>
      <c r="D162" s="140" t="s">
        <v>71</v>
      </c>
      <c r="E162" s="211" t="s">
        <v>280</v>
      </c>
      <c r="F162" s="140"/>
      <c r="G162" s="211" t="s">
        <v>1324</v>
      </c>
      <c r="H162" s="140"/>
      <c r="I162" s="211" t="s">
        <v>1324</v>
      </c>
      <c r="J162" s="140"/>
      <c r="K162" s="211"/>
      <c r="L162" s="212"/>
      <c r="M162" s="241" t="s">
        <v>129</v>
      </c>
      <c r="N162" s="241" t="s">
        <v>51</v>
      </c>
    </row>
    <row r="163" spans="1:14" s="155" customFormat="1">
      <c r="A163" s="208" t="s">
        <v>1008</v>
      </c>
      <c r="B163" s="209" t="s">
        <v>1739</v>
      </c>
      <c r="C163" s="210" t="str">
        <f>IF('Server PICS'!I$117="Yes","Yes","No")</f>
        <v>No</v>
      </c>
      <c r="D163" s="140" t="s">
        <v>71</v>
      </c>
      <c r="E163" s="211" t="s">
        <v>280</v>
      </c>
      <c r="F163" s="140"/>
      <c r="G163" s="211" t="s">
        <v>1324</v>
      </c>
      <c r="H163" s="140"/>
      <c r="I163" s="211" t="s">
        <v>1324</v>
      </c>
      <c r="J163" s="140"/>
      <c r="K163" s="211"/>
      <c r="L163" s="212"/>
      <c r="M163" s="241" t="s">
        <v>129</v>
      </c>
      <c r="N163" s="241" t="s">
        <v>51</v>
      </c>
    </row>
    <row r="164" spans="1:14" s="155" customFormat="1">
      <c r="A164" s="208" t="s">
        <v>1009</v>
      </c>
      <c r="B164" s="209" t="s">
        <v>1739</v>
      </c>
      <c r="C164" s="210" t="str">
        <f>IF(AND('Server PICS'!I$117="Yes",'Server PICS'!I$118="Yes"),"Yes","No")</f>
        <v>No</v>
      </c>
      <c r="D164" s="140" t="s">
        <v>71</v>
      </c>
      <c r="E164" s="211" t="s">
        <v>280</v>
      </c>
      <c r="F164" s="140" t="s">
        <v>1124</v>
      </c>
      <c r="G164" s="211" t="s">
        <v>281</v>
      </c>
      <c r="H164" s="140"/>
      <c r="I164" s="211" t="s">
        <v>1324</v>
      </c>
      <c r="J164" s="140"/>
      <c r="K164" s="211"/>
      <c r="L164" s="212"/>
      <c r="M164" s="241" t="s">
        <v>129</v>
      </c>
      <c r="N164" s="241" t="s">
        <v>51</v>
      </c>
    </row>
    <row r="165" spans="1:14" s="155" customFormat="1">
      <c r="A165" s="208" t="s">
        <v>1010</v>
      </c>
      <c r="B165" s="209" t="s">
        <v>1739</v>
      </c>
      <c r="C165" s="210" t="str">
        <f>IF(AND('Server PICS'!I$117="Yes",'Server PICS'!I$120="Yes"),"Yes","No")</f>
        <v>No</v>
      </c>
      <c r="D165" s="140" t="s">
        <v>71</v>
      </c>
      <c r="E165" s="211" t="s">
        <v>280</v>
      </c>
      <c r="F165" s="140" t="s">
        <v>1124</v>
      </c>
      <c r="G165" s="211" t="s">
        <v>283</v>
      </c>
      <c r="H165" s="140"/>
      <c r="I165" s="211" t="s">
        <v>1324</v>
      </c>
      <c r="J165" s="140"/>
      <c r="K165" s="211"/>
      <c r="L165" s="212"/>
      <c r="M165" s="241" t="s">
        <v>129</v>
      </c>
      <c r="N165" s="241" t="s">
        <v>51</v>
      </c>
    </row>
    <row r="166" spans="1:14" s="155" customFormat="1">
      <c r="A166" s="208" t="s">
        <v>1011</v>
      </c>
      <c r="B166" s="209" t="s">
        <v>1739</v>
      </c>
      <c r="C166" s="210" t="str">
        <f>IF(AND('Server PICS'!I$117="Yes",'Server PICS'!I$119="Yes"),"Yes","No")</f>
        <v>No</v>
      </c>
      <c r="D166" s="140" t="s">
        <v>71</v>
      </c>
      <c r="E166" s="211" t="s">
        <v>280</v>
      </c>
      <c r="F166" s="140" t="s">
        <v>1124</v>
      </c>
      <c r="G166" s="211" t="s">
        <v>282</v>
      </c>
      <c r="H166" s="140"/>
      <c r="I166" s="211" t="s">
        <v>1324</v>
      </c>
      <c r="J166" s="140"/>
      <c r="K166" s="211"/>
      <c r="L166" s="212"/>
      <c r="M166" s="241" t="s">
        <v>129</v>
      </c>
      <c r="N166" s="241" t="s">
        <v>51</v>
      </c>
    </row>
    <row r="167" spans="1:14" s="155" customFormat="1">
      <c r="A167" s="208" t="s">
        <v>1846</v>
      </c>
      <c r="B167" s="209" t="s">
        <v>2006</v>
      </c>
      <c r="C167" s="210" t="str">
        <f>IF(AND('Server PICS'!I$117="Yes",'Server PICS'!I$121="Yes"),"Yes","No")</f>
        <v>No</v>
      </c>
      <c r="D167" s="140" t="s">
        <v>71</v>
      </c>
      <c r="E167" s="211" t="s">
        <v>280</v>
      </c>
      <c r="F167" s="140" t="s">
        <v>1124</v>
      </c>
      <c r="G167" s="211" t="s">
        <v>284</v>
      </c>
      <c r="H167" s="140"/>
      <c r="I167" s="211"/>
      <c r="J167" s="140"/>
      <c r="K167" s="211"/>
      <c r="L167" s="212"/>
      <c r="M167" s="241" t="s">
        <v>129</v>
      </c>
      <c r="N167" s="241" t="s">
        <v>51</v>
      </c>
    </row>
    <row r="168" spans="1:14" s="155" customFormat="1">
      <c r="A168" s="208" t="s">
        <v>1847</v>
      </c>
      <c r="B168" s="209" t="s">
        <v>2006</v>
      </c>
      <c r="C168" s="210" t="str">
        <f>IF(AND('Server PICS'!I$117="Yes",'Server PICS'!I$121="Yes"),"Yes","No")</f>
        <v>No</v>
      </c>
      <c r="D168" s="140" t="s">
        <v>71</v>
      </c>
      <c r="E168" s="211" t="s">
        <v>280</v>
      </c>
      <c r="F168" s="140" t="s">
        <v>1124</v>
      </c>
      <c r="G168" s="211" t="s">
        <v>284</v>
      </c>
      <c r="H168" s="140"/>
      <c r="I168" s="213"/>
      <c r="J168" s="140"/>
      <c r="K168" s="211"/>
      <c r="L168" s="212"/>
      <c r="M168" s="241" t="s">
        <v>129</v>
      </c>
      <c r="N168" s="241" t="s">
        <v>51</v>
      </c>
    </row>
    <row r="169" spans="1:14" s="155" customFormat="1">
      <c r="A169" s="208" t="s">
        <v>1848</v>
      </c>
      <c r="B169" s="209" t="s">
        <v>2006</v>
      </c>
      <c r="C169" s="210" t="str">
        <f>IF(AND('Server PICS'!I$117="Yes",'Server PICS'!I$121="Yes"),"Yes","No")</f>
        <v>No</v>
      </c>
      <c r="D169" s="140" t="s">
        <v>71</v>
      </c>
      <c r="E169" s="211" t="s">
        <v>280</v>
      </c>
      <c r="F169" s="140" t="s">
        <v>1124</v>
      </c>
      <c r="G169" s="211" t="s">
        <v>284</v>
      </c>
      <c r="H169" s="140"/>
      <c r="I169" s="211"/>
      <c r="J169" s="140"/>
      <c r="K169" s="211"/>
      <c r="L169" s="212"/>
      <c r="M169" s="241" t="s">
        <v>129</v>
      </c>
      <c r="N169" s="241" t="s">
        <v>51</v>
      </c>
    </row>
    <row r="170" spans="1:14" s="155" customFormat="1">
      <c r="A170" s="208" t="s">
        <v>1740</v>
      </c>
      <c r="B170" s="209" t="s">
        <v>2006</v>
      </c>
      <c r="C170" s="210" t="str">
        <f>IF(AND('Server PICS'!I$122="Yes",'Server PICS'!I$117="Yes"),"Yes","No")</f>
        <v>No</v>
      </c>
      <c r="D170" s="140" t="s">
        <v>71</v>
      </c>
      <c r="E170" s="211" t="s">
        <v>280</v>
      </c>
      <c r="F170" s="140" t="s">
        <v>1124</v>
      </c>
      <c r="G170" s="138" t="s">
        <v>2013</v>
      </c>
      <c r="H170" s="140"/>
      <c r="I170" s="211" t="s">
        <v>1324</v>
      </c>
      <c r="J170" s="140"/>
      <c r="K170" s="211"/>
      <c r="L170" s="212"/>
      <c r="M170" s="241" t="s">
        <v>129</v>
      </c>
      <c r="N170" s="241" t="s">
        <v>51</v>
      </c>
    </row>
    <row r="171" spans="1:14" s="155" customFormat="1">
      <c r="A171" s="208" t="s">
        <v>1012</v>
      </c>
      <c r="B171" s="209" t="s">
        <v>1739</v>
      </c>
      <c r="C171" s="210" t="str">
        <f>IF('Server PICS'!I$123="Yes","Yes","No")</f>
        <v>No</v>
      </c>
      <c r="D171" s="140" t="s">
        <v>3</v>
      </c>
      <c r="E171" s="211" t="s">
        <v>657</v>
      </c>
      <c r="F171" s="140"/>
      <c r="G171" s="211" t="s">
        <v>1324</v>
      </c>
      <c r="H171" s="140"/>
      <c r="I171" s="211" t="s">
        <v>1324</v>
      </c>
      <c r="J171" s="140"/>
      <c r="K171" s="211"/>
      <c r="L171" s="212"/>
      <c r="M171" s="241" t="s">
        <v>129</v>
      </c>
      <c r="N171" s="241" t="s">
        <v>52</v>
      </c>
    </row>
    <row r="172" spans="1:14" s="155" customFormat="1">
      <c r="A172" s="208" t="s">
        <v>1013</v>
      </c>
      <c r="B172" s="209" t="s">
        <v>1739</v>
      </c>
      <c r="C172" s="210" t="str">
        <f>IF('Server PICS'!I$123="Yes","Yes","No")</f>
        <v>No</v>
      </c>
      <c r="D172" s="140" t="s">
        <v>3</v>
      </c>
      <c r="E172" s="211" t="s">
        <v>657</v>
      </c>
      <c r="F172" s="140"/>
      <c r="G172" s="211" t="s">
        <v>1324</v>
      </c>
      <c r="H172" s="140"/>
      <c r="I172" s="211" t="s">
        <v>1324</v>
      </c>
      <c r="J172" s="140"/>
      <c r="K172" s="211"/>
      <c r="L172" s="212"/>
      <c r="M172" s="241" t="s">
        <v>129</v>
      </c>
      <c r="N172" s="241" t="s">
        <v>52</v>
      </c>
    </row>
    <row r="173" spans="1:14" s="155" customFormat="1">
      <c r="A173" s="208" t="s">
        <v>1014</v>
      </c>
      <c r="B173" s="209">
        <v>1.1000000000000001</v>
      </c>
      <c r="C173" s="210" t="str">
        <f>IF('Server PICS'!I$123="Yes","Yes","No")</f>
        <v>No</v>
      </c>
      <c r="D173" s="140" t="s">
        <v>3</v>
      </c>
      <c r="E173" s="211" t="s">
        <v>657</v>
      </c>
      <c r="F173" s="140"/>
      <c r="G173" s="211" t="s">
        <v>1324</v>
      </c>
      <c r="H173" s="140"/>
      <c r="I173" s="211" t="s">
        <v>1324</v>
      </c>
      <c r="J173" s="140"/>
      <c r="K173" s="211"/>
      <c r="L173" s="212"/>
      <c r="M173" s="241" t="s">
        <v>129</v>
      </c>
      <c r="N173" s="241" t="s">
        <v>52</v>
      </c>
    </row>
    <row r="174" spans="1:14" s="155" customFormat="1">
      <c r="A174" s="208" t="s">
        <v>1015</v>
      </c>
      <c r="B174" s="209">
        <v>1.1000000000000001</v>
      </c>
      <c r="C174" s="210" t="str">
        <f>IF('Server PICS'!I$126="Yes","Yes","No")</f>
        <v>No</v>
      </c>
      <c r="D174" s="140" t="s">
        <v>3</v>
      </c>
      <c r="E174" s="211" t="s">
        <v>658</v>
      </c>
      <c r="F174" s="140"/>
      <c r="G174" s="211" t="s">
        <v>1324</v>
      </c>
      <c r="H174" s="140"/>
      <c r="I174" s="211" t="s">
        <v>1324</v>
      </c>
      <c r="J174" s="140"/>
      <c r="K174" s="211"/>
      <c r="L174" s="212"/>
      <c r="M174" s="241" t="s">
        <v>129</v>
      </c>
      <c r="N174" s="241" t="s">
        <v>52</v>
      </c>
    </row>
    <row r="175" spans="1:14" s="155" customFormat="1">
      <c r="A175" s="208" t="s">
        <v>1016</v>
      </c>
      <c r="B175" s="209">
        <v>1.1000000000000001</v>
      </c>
      <c r="C175" s="210" t="str">
        <f>IF('Server PICS'!I$125="Yes","Yes","No")</f>
        <v>No</v>
      </c>
      <c r="D175" s="140" t="s">
        <v>71</v>
      </c>
      <c r="E175" s="211" t="s">
        <v>286</v>
      </c>
      <c r="F175" s="140"/>
      <c r="G175" s="211" t="s">
        <v>1324</v>
      </c>
      <c r="H175" s="140"/>
      <c r="I175" s="211" t="s">
        <v>1324</v>
      </c>
      <c r="J175" s="140"/>
      <c r="K175" s="211"/>
      <c r="L175" s="212"/>
      <c r="M175" s="241" t="s">
        <v>129</v>
      </c>
      <c r="N175" s="241" t="s">
        <v>52</v>
      </c>
    </row>
    <row r="176" spans="1:14" s="155" customFormat="1">
      <c r="A176" s="208" t="s">
        <v>1017</v>
      </c>
      <c r="B176" s="209">
        <v>1.1000000000000001</v>
      </c>
      <c r="C176" s="210" t="str">
        <f>IF('Server PICS'!I$124="Yes","Yes","No")</f>
        <v>No</v>
      </c>
      <c r="D176" s="140" t="s">
        <v>71</v>
      </c>
      <c r="E176" s="211" t="s">
        <v>285</v>
      </c>
      <c r="F176" s="140"/>
      <c r="G176" s="211" t="s">
        <v>1324</v>
      </c>
      <c r="H176" s="140"/>
      <c r="I176" s="211" t="s">
        <v>1324</v>
      </c>
      <c r="J176" s="140"/>
      <c r="K176" s="211"/>
      <c r="L176" s="212"/>
      <c r="M176" s="241" t="s">
        <v>129</v>
      </c>
      <c r="N176" s="241" t="s">
        <v>52</v>
      </c>
    </row>
    <row r="177" spans="1:14" s="155" customFormat="1">
      <c r="A177" s="208" t="s">
        <v>1316</v>
      </c>
      <c r="B177" s="209" t="s">
        <v>1005</v>
      </c>
      <c r="C177" s="210" t="str">
        <f>IF('Server PICS'!I$123="Yes","Yes","No")</f>
        <v>No</v>
      </c>
      <c r="D177" s="140" t="s">
        <v>3</v>
      </c>
      <c r="E177" s="211" t="s">
        <v>657</v>
      </c>
      <c r="F177" s="140"/>
      <c r="G177" s="211" t="s">
        <v>1324</v>
      </c>
      <c r="H177" s="140"/>
      <c r="I177" s="211" t="s">
        <v>1324</v>
      </c>
      <c r="J177" s="140"/>
      <c r="K177" s="211"/>
      <c r="L177" s="212"/>
      <c r="M177" s="241" t="s">
        <v>129</v>
      </c>
      <c r="N177" s="241" t="s">
        <v>52</v>
      </c>
    </row>
    <row r="178" spans="1:14" s="155" customFormat="1">
      <c r="A178" s="208" t="s">
        <v>1018</v>
      </c>
      <c r="B178" s="209" t="s">
        <v>1019</v>
      </c>
      <c r="C178" s="210" t="str">
        <f>IF('Server PICS'!I$170="Yes","Yes","No")</f>
        <v>No</v>
      </c>
      <c r="D178" s="140" t="s">
        <v>3</v>
      </c>
      <c r="E178" s="211" t="s">
        <v>543</v>
      </c>
      <c r="F178" s="140"/>
      <c r="G178" s="211" t="s">
        <v>1324</v>
      </c>
      <c r="H178" s="140"/>
      <c r="I178" s="211" t="s">
        <v>1324</v>
      </c>
      <c r="J178" s="140"/>
      <c r="K178" s="211"/>
      <c r="L178" s="212"/>
      <c r="M178" s="241" t="s">
        <v>7</v>
      </c>
      <c r="N178" s="241" t="s">
        <v>6</v>
      </c>
    </row>
    <row r="179" spans="1:14" s="155" customFormat="1">
      <c r="A179" s="208" t="s">
        <v>1020</v>
      </c>
      <c r="B179" s="209" t="s">
        <v>1019</v>
      </c>
      <c r="C179" s="210" t="str">
        <f>IF(AND('Server PICS'!I$170="Yes",'Server PICS'!I$140="Yes"),"Yes","No")</f>
        <v>No</v>
      </c>
      <c r="D179" s="140" t="s">
        <v>3</v>
      </c>
      <c r="E179" s="211" t="s">
        <v>543</v>
      </c>
      <c r="F179" s="140" t="s">
        <v>1124</v>
      </c>
      <c r="G179" s="211" t="s">
        <v>664</v>
      </c>
      <c r="H179" s="140"/>
      <c r="I179" s="211" t="s">
        <v>1324</v>
      </c>
      <c r="J179" s="140"/>
      <c r="K179" s="211"/>
      <c r="L179" s="212"/>
      <c r="M179" s="241" t="s">
        <v>7</v>
      </c>
      <c r="N179" s="241" t="s">
        <v>6</v>
      </c>
    </row>
    <row r="180" spans="1:14" s="155" customFormat="1">
      <c r="A180" s="208" t="s">
        <v>1021</v>
      </c>
      <c r="B180" s="209" t="s">
        <v>1959</v>
      </c>
      <c r="C180" s="210" t="str">
        <f>IF('Server PICS'!I$170="Yes","Yes","No")</f>
        <v>No</v>
      </c>
      <c r="D180" s="140" t="s">
        <v>3</v>
      </c>
      <c r="E180" s="211" t="s">
        <v>543</v>
      </c>
      <c r="F180" s="140"/>
      <c r="G180" s="211" t="s">
        <v>1324</v>
      </c>
      <c r="H180" s="140"/>
      <c r="I180" s="211" t="s">
        <v>1324</v>
      </c>
      <c r="J180" s="140"/>
      <c r="K180" s="211"/>
      <c r="L180" s="212"/>
      <c r="M180" s="241" t="s">
        <v>7</v>
      </c>
      <c r="N180" s="241" t="s">
        <v>1416</v>
      </c>
    </row>
    <row r="181" spans="1:14" s="155" customFormat="1">
      <c r="A181" s="208" t="s">
        <v>1022</v>
      </c>
      <c r="B181" s="209" t="s">
        <v>1959</v>
      </c>
      <c r="C181" s="210" t="str">
        <f>IF('Server PICS'!I$170="Yes","Yes","No")</f>
        <v>No</v>
      </c>
      <c r="D181" s="140" t="s">
        <v>3</v>
      </c>
      <c r="E181" s="211" t="s">
        <v>543</v>
      </c>
      <c r="F181" s="140"/>
      <c r="G181" s="211" t="s">
        <v>1324</v>
      </c>
      <c r="H181" s="140"/>
      <c r="I181" s="211" t="s">
        <v>1324</v>
      </c>
      <c r="J181" s="140"/>
      <c r="K181" s="211"/>
      <c r="L181" s="212"/>
      <c r="M181" s="241" t="s">
        <v>7</v>
      </c>
      <c r="N181" s="241" t="s">
        <v>1416</v>
      </c>
    </row>
    <row r="182" spans="1:14" s="155" customFormat="1">
      <c r="A182" s="208" t="s">
        <v>1023</v>
      </c>
      <c r="B182" s="209" t="s">
        <v>1959</v>
      </c>
      <c r="C182" s="210" t="str">
        <f>IF('Server PICS'!I$170="Yes","Yes","No")</f>
        <v>No</v>
      </c>
      <c r="D182" s="140" t="s">
        <v>3</v>
      </c>
      <c r="E182" s="211" t="s">
        <v>543</v>
      </c>
      <c r="F182" s="140"/>
      <c r="G182" s="211" t="s">
        <v>1324</v>
      </c>
      <c r="H182" s="140"/>
      <c r="I182" s="211" t="s">
        <v>1324</v>
      </c>
      <c r="J182" s="140"/>
      <c r="K182" s="211"/>
      <c r="L182" s="212"/>
      <c r="M182" s="241" t="s">
        <v>7</v>
      </c>
      <c r="N182" s="241" t="s">
        <v>1416</v>
      </c>
    </row>
    <row r="183" spans="1:14" s="155" customFormat="1">
      <c r="A183" s="208" t="s">
        <v>1024</v>
      </c>
      <c r="B183" s="209" t="s">
        <v>1959</v>
      </c>
      <c r="C183" s="210" t="str">
        <f>IF('Server PICS'!I$170="Yes","Yes","No")</f>
        <v>No</v>
      </c>
      <c r="D183" s="140" t="s">
        <v>3</v>
      </c>
      <c r="E183" s="211" t="s">
        <v>543</v>
      </c>
      <c r="F183" s="140"/>
      <c r="G183" s="211" t="s">
        <v>1324</v>
      </c>
      <c r="H183" s="140"/>
      <c r="I183" s="211" t="s">
        <v>1324</v>
      </c>
      <c r="J183" s="140"/>
      <c r="K183" s="211"/>
      <c r="L183" s="212"/>
      <c r="M183" s="241" t="s">
        <v>7</v>
      </c>
      <c r="N183" s="241" t="s">
        <v>1416</v>
      </c>
    </row>
    <row r="184" spans="1:14" s="155" customFormat="1">
      <c r="A184" s="208" t="s">
        <v>1025</v>
      </c>
      <c r="B184" s="209" t="s">
        <v>1959</v>
      </c>
      <c r="C184" s="210" t="str">
        <f>IF('Server PICS'!I$170="Yes","Yes","No")</f>
        <v>No</v>
      </c>
      <c r="D184" s="140" t="s">
        <v>3</v>
      </c>
      <c r="E184" s="211" t="s">
        <v>543</v>
      </c>
      <c r="F184" s="140"/>
      <c r="G184" s="211" t="s">
        <v>1324</v>
      </c>
      <c r="H184" s="140"/>
      <c r="I184" s="211" t="s">
        <v>1324</v>
      </c>
      <c r="J184" s="140"/>
      <c r="K184" s="211"/>
      <c r="L184" s="212"/>
      <c r="M184" s="241" t="s">
        <v>7</v>
      </c>
      <c r="N184" s="241" t="s">
        <v>1416</v>
      </c>
    </row>
    <row r="185" spans="1:14" s="155" customFormat="1">
      <c r="A185" s="208" t="s">
        <v>1321</v>
      </c>
      <c r="B185" s="209" t="s">
        <v>1019</v>
      </c>
      <c r="C185" s="210" t="str">
        <f>IF('Server PICS'!I$170="Yes","Yes","No")</f>
        <v>No</v>
      </c>
      <c r="D185" s="140" t="s">
        <v>3</v>
      </c>
      <c r="E185" s="211" t="s">
        <v>543</v>
      </c>
      <c r="F185" s="140"/>
      <c r="G185" s="211" t="s">
        <v>1324</v>
      </c>
      <c r="H185" s="140"/>
      <c r="I185" s="211" t="s">
        <v>1324</v>
      </c>
      <c r="J185" s="140"/>
      <c r="K185" s="211"/>
      <c r="L185" s="212"/>
      <c r="M185" s="241" t="s">
        <v>7</v>
      </c>
      <c r="N185" s="241" t="s">
        <v>1416</v>
      </c>
    </row>
    <row r="186" spans="1:14" s="155" customFormat="1">
      <c r="A186" s="208" t="s">
        <v>2000</v>
      </c>
      <c r="B186" s="209" t="s">
        <v>1959</v>
      </c>
      <c r="C186" s="210" t="str">
        <f>IF('Server PICS'!I$170="Yes","Yes","No")</f>
        <v>No</v>
      </c>
      <c r="D186" s="140" t="s">
        <v>3</v>
      </c>
      <c r="E186" s="211" t="s">
        <v>543</v>
      </c>
      <c r="F186" s="140"/>
      <c r="G186" s="211" t="s">
        <v>1324</v>
      </c>
      <c r="H186" s="140"/>
      <c r="I186" s="211" t="s">
        <v>1324</v>
      </c>
      <c r="J186" s="140"/>
      <c r="K186" s="211"/>
      <c r="L186" s="212"/>
      <c r="M186" s="241" t="s">
        <v>7</v>
      </c>
      <c r="N186" s="241" t="s">
        <v>1416</v>
      </c>
    </row>
    <row r="187" spans="1:14" s="155" customFormat="1">
      <c r="A187" s="208" t="s">
        <v>1026</v>
      </c>
      <c r="B187" s="209">
        <v>1.1000000000000001</v>
      </c>
      <c r="C187" s="210" t="str">
        <f>IF('Server PICS'!I$177="Yes","Yes","No")</f>
        <v>No</v>
      </c>
      <c r="D187" s="140" t="s">
        <v>71</v>
      </c>
      <c r="E187" s="211" t="s">
        <v>544</v>
      </c>
      <c r="F187" s="140"/>
      <c r="G187" s="211" t="s">
        <v>1324</v>
      </c>
      <c r="H187" s="140"/>
      <c r="I187" s="211" t="s">
        <v>1324</v>
      </c>
      <c r="J187" s="140"/>
      <c r="K187" s="211"/>
      <c r="L187" s="212"/>
      <c r="M187" s="241" t="s">
        <v>164</v>
      </c>
      <c r="N187" s="241" t="s">
        <v>6</v>
      </c>
    </row>
    <row r="188" spans="1:14" s="155" customFormat="1">
      <c r="A188" s="208" t="s">
        <v>1027</v>
      </c>
      <c r="B188" s="209">
        <v>1.1000000000000001</v>
      </c>
      <c r="C188" s="210" t="str">
        <f>IF('Server PICS'!I$177="Yes","Yes","No")</f>
        <v>No</v>
      </c>
      <c r="D188" s="140" t="s">
        <v>71</v>
      </c>
      <c r="E188" s="211" t="s">
        <v>544</v>
      </c>
      <c r="F188" s="140"/>
      <c r="G188" s="211" t="s">
        <v>1324</v>
      </c>
      <c r="H188" s="140"/>
      <c r="I188" s="211" t="s">
        <v>1324</v>
      </c>
      <c r="J188" s="140"/>
      <c r="K188" s="211"/>
      <c r="L188" s="212"/>
      <c r="M188" s="241" t="s">
        <v>164</v>
      </c>
      <c r="N188" s="241" t="s">
        <v>6</v>
      </c>
    </row>
    <row r="189" spans="1:14" s="155" customFormat="1">
      <c r="A189" s="208" t="s">
        <v>1028</v>
      </c>
      <c r="B189" s="209">
        <v>1.1000000000000001</v>
      </c>
      <c r="C189" s="210" t="str">
        <f>IF('Server PICS'!I$177="Yes","Yes","No")</f>
        <v>No</v>
      </c>
      <c r="D189" s="140" t="s">
        <v>71</v>
      </c>
      <c r="E189" s="211" t="s">
        <v>544</v>
      </c>
      <c r="F189" s="140"/>
      <c r="G189" s="211" t="s">
        <v>1324</v>
      </c>
      <c r="H189" s="140"/>
      <c r="I189" s="211" t="s">
        <v>1324</v>
      </c>
      <c r="J189" s="140"/>
      <c r="K189" s="211"/>
      <c r="L189" s="212"/>
      <c r="M189" s="241" t="s">
        <v>164</v>
      </c>
      <c r="N189" s="241" t="s">
        <v>6</v>
      </c>
    </row>
    <row r="190" spans="1:14" s="155" customFormat="1">
      <c r="A190" s="208" t="s">
        <v>1029</v>
      </c>
      <c r="B190" s="209" t="s">
        <v>1030</v>
      </c>
      <c r="C190" s="210" t="str">
        <f>IF(AND('Server PICS'!I$208="Yes", 'Server PICS'!I$221="Yes"),"Yes","No")</f>
        <v>No</v>
      </c>
      <c r="D190" s="140" t="s">
        <v>71</v>
      </c>
      <c r="E190" s="211" t="s">
        <v>460</v>
      </c>
      <c r="F190" s="140" t="s">
        <v>1124</v>
      </c>
      <c r="G190" s="211" t="s">
        <v>695</v>
      </c>
      <c r="H190" s="140"/>
      <c r="I190" s="211" t="s">
        <v>1324</v>
      </c>
      <c r="J190" s="140"/>
      <c r="K190" s="211"/>
      <c r="L190" s="212"/>
      <c r="M190" s="241" t="s">
        <v>176</v>
      </c>
      <c r="N190" s="241" t="s">
        <v>1417</v>
      </c>
    </row>
    <row r="191" spans="1:14" s="155" customFormat="1">
      <c r="A191" s="208" t="s">
        <v>1031</v>
      </c>
      <c r="B191" s="209" t="s">
        <v>1030</v>
      </c>
      <c r="C191" s="210" t="str">
        <f>IF(AND('Server PICS'!I$208="Yes",'Server PICS'!I$219="Yes"),"Yes","No")</f>
        <v>No</v>
      </c>
      <c r="D191" s="140" t="s">
        <v>71</v>
      </c>
      <c r="E191" s="211" t="s">
        <v>460</v>
      </c>
      <c r="F191" s="140" t="s">
        <v>1124</v>
      </c>
      <c r="G191" s="211" t="s">
        <v>693</v>
      </c>
      <c r="H191" s="140"/>
      <c r="I191" s="211" t="s">
        <v>1324</v>
      </c>
      <c r="J191" s="140"/>
      <c r="K191" s="211"/>
      <c r="L191" s="212"/>
      <c r="M191" s="241" t="s">
        <v>176</v>
      </c>
      <c r="N191" s="241" t="s">
        <v>1417</v>
      </c>
    </row>
    <row r="192" spans="1:14" s="155" customFormat="1">
      <c r="A192" s="208" t="s">
        <v>1032</v>
      </c>
      <c r="B192" s="209" t="s">
        <v>1030</v>
      </c>
      <c r="C192" s="210" t="str">
        <f>IF(AND('Server PICS'!I$208="Yes",'Server PICS'!I$218="Yes"),"Yes","No")</f>
        <v>No</v>
      </c>
      <c r="D192" s="140" t="s">
        <v>71</v>
      </c>
      <c r="E192" s="211" t="s">
        <v>460</v>
      </c>
      <c r="F192" s="140" t="s">
        <v>1124</v>
      </c>
      <c r="G192" s="211" t="s">
        <v>692</v>
      </c>
      <c r="H192" s="140"/>
      <c r="I192" s="211" t="s">
        <v>1324</v>
      </c>
      <c r="J192" s="140"/>
      <c r="K192" s="211"/>
      <c r="L192" s="212"/>
      <c r="M192" s="241" t="s">
        <v>176</v>
      </c>
      <c r="N192" s="241" t="s">
        <v>1417</v>
      </c>
    </row>
    <row r="193" spans="1:14" s="155" customFormat="1">
      <c r="A193" s="208" t="s">
        <v>1033</v>
      </c>
      <c r="B193" s="209" t="s">
        <v>1030</v>
      </c>
      <c r="C193" s="210" t="str">
        <f>IF(AND('Server PICS'!I$208="Yes",'Server PICS'!I$224="Yes"),"Yes","No")</f>
        <v>No</v>
      </c>
      <c r="D193" s="140" t="s">
        <v>71</v>
      </c>
      <c r="E193" s="211" t="s">
        <v>460</v>
      </c>
      <c r="F193" s="140" t="s">
        <v>1124</v>
      </c>
      <c r="G193" s="211" t="s">
        <v>697</v>
      </c>
      <c r="H193" s="140"/>
      <c r="I193" s="211" t="s">
        <v>1324</v>
      </c>
      <c r="J193" s="140"/>
      <c r="K193" s="211"/>
      <c r="L193" s="212"/>
      <c r="M193" s="241" t="s">
        <v>176</v>
      </c>
      <c r="N193" s="241" t="s">
        <v>1417</v>
      </c>
    </row>
    <row r="194" spans="1:14" s="155" customFormat="1">
      <c r="A194" s="208" t="s">
        <v>1034</v>
      </c>
      <c r="B194" s="209" t="s">
        <v>1030</v>
      </c>
      <c r="C194" s="210" t="str">
        <f>IF(AND('Server PICS'!I$208="Yes",'Server PICS'!I$218="Yes"),"Yes","No")</f>
        <v>No</v>
      </c>
      <c r="D194" s="140" t="s">
        <v>71</v>
      </c>
      <c r="E194" s="211" t="s">
        <v>460</v>
      </c>
      <c r="F194" s="140" t="s">
        <v>1124</v>
      </c>
      <c r="G194" s="211" t="s">
        <v>692</v>
      </c>
      <c r="H194" s="140"/>
      <c r="I194" s="211" t="s">
        <v>1324</v>
      </c>
      <c r="J194" s="140"/>
      <c r="K194" s="211"/>
      <c r="L194" s="212"/>
      <c r="M194" s="241" t="s">
        <v>176</v>
      </c>
      <c r="N194" s="241" t="s">
        <v>1417</v>
      </c>
    </row>
    <row r="195" spans="1:14" s="155" customFormat="1">
      <c r="A195" s="208" t="s">
        <v>1035</v>
      </c>
      <c r="B195" s="209" t="s">
        <v>1030</v>
      </c>
      <c r="C195" s="210" t="str">
        <f>IF(AND('Server PICS'!I$208="Yes",'Server PICS'!I$224="Yes"),"Yes","No")</f>
        <v>No</v>
      </c>
      <c r="D195" s="140" t="s">
        <v>71</v>
      </c>
      <c r="E195" s="211" t="s">
        <v>460</v>
      </c>
      <c r="F195" s="140" t="s">
        <v>1124</v>
      </c>
      <c r="G195" s="211" t="s">
        <v>697</v>
      </c>
      <c r="H195" s="140"/>
      <c r="I195" s="211" t="s">
        <v>1324</v>
      </c>
      <c r="J195" s="140"/>
      <c r="K195" s="211"/>
      <c r="L195" s="212"/>
      <c r="M195" s="241" t="s">
        <v>176</v>
      </c>
      <c r="N195" s="241" t="s">
        <v>1417</v>
      </c>
    </row>
    <row r="196" spans="1:14" s="155" customFormat="1">
      <c r="A196" s="208" t="s">
        <v>1036</v>
      </c>
      <c r="B196" s="209" t="s">
        <v>1030</v>
      </c>
      <c r="C196" s="210" t="str">
        <f>IF(AND('Server PICS'!I$208="Yes",'Server PICS'!I$218="Yes"),"Yes","No")</f>
        <v>No</v>
      </c>
      <c r="D196" s="140" t="s">
        <v>71</v>
      </c>
      <c r="E196" s="211" t="s">
        <v>460</v>
      </c>
      <c r="F196" s="140" t="s">
        <v>1124</v>
      </c>
      <c r="G196" s="211" t="s">
        <v>692</v>
      </c>
      <c r="H196" s="140"/>
      <c r="I196" s="211" t="s">
        <v>1324</v>
      </c>
      <c r="J196" s="140"/>
      <c r="K196" s="211"/>
      <c r="L196" s="212"/>
      <c r="M196" s="241" t="s">
        <v>176</v>
      </c>
      <c r="N196" s="241" t="s">
        <v>1417</v>
      </c>
    </row>
    <row r="197" spans="1:14" s="155" customFormat="1">
      <c r="A197" s="208" t="s">
        <v>1037</v>
      </c>
      <c r="B197" s="209" t="s">
        <v>1030</v>
      </c>
      <c r="C197" s="210" t="str">
        <f>IF(AND('Server PICS'!I$208="Yes",'Server PICS'!I$221="Yes"),"Yes","No")</f>
        <v>No</v>
      </c>
      <c r="D197" s="140" t="s">
        <v>71</v>
      </c>
      <c r="E197" s="211" t="s">
        <v>460</v>
      </c>
      <c r="F197" s="140" t="s">
        <v>1124</v>
      </c>
      <c r="G197" s="211" t="s">
        <v>695</v>
      </c>
      <c r="H197" s="140"/>
      <c r="I197" s="211" t="s">
        <v>1324</v>
      </c>
      <c r="J197" s="140"/>
      <c r="K197" s="211"/>
      <c r="L197" s="212"/>
      <c r="M197" s="241" t="s">
        <v>176</v>
      </c>
      <c r="N197" s="241" t="s">
        <v>1417</v>
      </c>
    </row>
    <row r="198" spans="1:14" s="155" customFormat="1">
      <c r="A198" s="208" t="s">
        <v>1441</v>
      </c>
      <c r="B198" s="209" t="s">
        <v>1030</v>
      </c>
      <c r="C198" s="210" t="str">
        <f>IF(AND('Server PICS'!I$208="Yes",'Server PICS'!I$218="Yes"),"Yes","No")</f>
        <v>No</v>
      </c>
      <c r="D198" s="140" t="s">
        <v>71</v>
      </c>
      <c r="E198" s="211" t="s">
        <v>460</v>
      </c>
      <c r="F198" s="140" t="s">
        <v>1124</v>
      </c>
      <c r="G198" s="211" t="s">
        <v>692</v>
      </c>
      <c r="H198" s="140"/>
      <c r="I198" s="211" t="s">
        <v>1324</v>
      </c>
      <c r="J198" s="140"/>
      <c r="K198" s="211"/>
      <c r="L198" s="212"/>
      <c r="M198" s="241" t="s">
        <v>176</v>
      </c>
      <c r="N198" s="241" t="s">
        <v>1417</v>
      </c>
    </row>
    <row r="199" spans="1:14" s="155" customFormat="1">
      <c r="A199" s="208" t="s">
        <v>1038</v>
      </c>
      <c r="B199" s="209" t="s">
        <v>1748</v>
      </c>
      <c r="C199" s="210" t="str">
        <f>IF(AND('Server PICS'!I$178="Yes",'Server PICS'!I$191="Yes"),"Yes","No")</f>
        <v>No</v>
      </c>
      <c r="D199" s="140" t="s">
        <v>71</v>
      </c>
      <c r="E199" s="211" t="s">
        <v>450</v>
      </c>
      <c r="F199" s="140" t="s">
        <v>1124</v>
      </c>
      <c r="G199" s="211" t="s">
        <v>682</v>
      </c>
      <c r="H199" s="140"/>
      <c r="I199" s="211" t="s">
        <v>1324</v>
      </c>
      <c r="J199" s="140"/>
      <c r="K199" s="211"/>
      <c r="L199" s="212"/>
      <c r="M199" s="241" t="s">
        <v>176</v>
      </c>
      <c r="N199" s="241" t="s">
        <v>1418</v>
      </c>
    </row>
    <row r="200" spans="1:14" s="155" customFormat="1">
      <c r="A200" s="208" t="s">
        <v>1039</v>
      </c>
      <c r="B200" s="209" t="s">
        <v>1030</v>
      </c>
      <c r="C200" s="210" t="str">
        <f>IF(AND('Server PICS'!I$178="Yes",'Server PICS'!I$191="Yes",'Server PICS'!I$189="Yes"),"Yes","No")</f>
        <v>No</v>
      </c>
      <c r="D200" s="140" t="s">
        <v>71</v>
      </c>
      <c r="E200" s="211" t="s">
        <v>450</v>
      </c>
      <c r="F200" s="140" t="s">
        <v>1124</v>
      </c>
      <c r="G200" s="211" t="s">
        <v>682</v>
      </c>
      <c r="H200" s="140" t="s">
        <v>1124</v>
      </c>
      <c r="I200" s="211" t="s">
        <v>680</v>
      </c>
      <c r="J200" s="140"/>
      <c r="K200" s="211"/>
      <c r="L200" s="212"/>
      <c r="M200" s="241" t="s">
        <v>176</v>
      </c>
      <c r="N200" s="241" t="s">
        <v>1418</v>
      </c>
    </row>
    <row r="201" spans="1:14" s="155" customFormat="1">
      <c r="A201" s="208" t="s">
        <v>1040</v>
      </c>
      <c r="B201" s="209" t="s">
        <v>1030</v>
      </c>
      <c r="C201" s="210" t="str">
        <f>IF(AND('Server PICS'!I$178="Yes",'Server PICS'!I$191="Yes"),"Yes","No")</f>
        <v>No</v>
      </c>
      <c r="D201" s="140" t="s">
        <v>71</v>
      </c>
      <c r="E201" s="211" t="s">
        <v>450</v>
      </c>
      <c r="F201" s="140" t="s">
        <v>1124</v>
      </c>
      <c r="G201" s="211" t="s">
        <v>682</v>
      </c>
      <c r="H201" s="140"/>
      <c r="I201" s="211" t="s">
        <v>1324</v>
      </c>
      <c r="J201" s="140"/>
      <c r="K201" s="211"/>
      <c r="L201" s="212"/>
      <c r="M201" s="241" t="s">
        <v>176</v>
      </c>
      <c r="N201" s="241" t="s">
        <v>1418</v>
      </c>
    </row>
    <row r="202" spans="1:14" s="155" customFormat="1">
      <c r="A202" s="208" t="s">
        <v>1041</v>
      </c>
      <c r="B202" s="209" t="s">
        <v>1030</v>
      </c>
      <c r="C202" s="210" t="str">
        <f>IF(AND('Server PICS'!I$178="Yes",'Server PICS'!I$190="Yes",'Server PICS'!I$189="Yes"),"Yes","No")</f>
        <v>No</v>
      </c>
      <c r="D202" s="140" t="s">
        <v>71</v>
      </c>
      <c r="E202" s="211" t="s">
        <v>450</v>
      </c>
      <c r="F202" s="140" t="s">
        <v>1124</v>
      </c>
      <c r="G202" s="211" t="s">
        <v>681</v>
      </c>
      <c r="H202" s="140" t="s">
        <v>1124</v>
      </c>
      <c r="I202" s="211" t="s">
        <v>680</v>
      </c>
      <c r="J202" s="140"/>
      <c r="K202" s="211"/>
      <c r="L202" s="212"/>
      <c r="M202" s="241" t="s">
        <v>176</v>
      </c>
      <c r="N202" s="241" t="s">
        <v>1418</v>
      </c>
    </row>
    <row r="203" spans="1:14" s="155" customFormat="1">
      <c r="A203" s="208" t="s">
        <v>1042</v>
      </c>
      <c r="B203" s="209" t="s">
        <v>1030</v>
      </c>
      <c r="C203" s="210" t="str">
        <f>IF(AND('Server PICS'!I$178="Yes",'Server PICS'!I$194="Yes",'Server PICS'!I$193="Yes"),"Yes","No")</f>
        <v>No</v>
      </c>
      <c r="D203" s="140" t="s">
        <v>71</v>
      </c>
      <c r="E203" s="211" t="s">
        <v>450</v>
      </c>
      <c r="F203" s="140" t="s">
        <v>1124</v>
      </c>
      <c r="G203" s="211" t="s">
        <v>685</v>
      </c>
      <c r="H203" s="140" t="s">
        <v>1124</v>
      </c>
      <c r="I203" s="211" t="s">
        <v>684</v>
      </c>
      <c r="J203" s="140"/>
      <c r="K203" s="211"/>
      <c r="L203" s="212"/>
      <c r="M203" s="241" t="s">
        <v>176</v>
      </c>
      <c r="N203" s="241" t="s">
        <v>1418</v>
      </c>
    </row>
    <row r="204" spans="1:14" s="155" customFormat="1">
      <c r="A204" s="208" t="s">
        <v>1452</v>
      </c>
      <c r="B204" s="209" t="s">
        <v>1030</v>
      </c>
      <c r="C204" s="210" t="str">
        <f>IF(AND('Server PICS'!I$178="Yes",'Server PICS'!I$188="Yes"),"Yes","No")</f>
        <v>No</v>
      </c>
      <c r="D204" s="140" t="s">
        <v>71</v>
      </c>
      <c r="E204" s="211" t="s">
        <v>450</v>
      </c>
      <c r="F204" s="140" t="s">
        <v>1124</v>
      </c>
      <c r="G204" s="211" t="s">
        <v>679</v>
      </c>
      <c r="H204" s="140"/>
      <c r="I204" s="211" t="s">
        <v>1324</v>
      </c>
      <c r="J204" s="140"/>
      <c r="K204" s="211"/>
      <c r="L204" s="212"/>
      <c r="M204" s="241" t="s">
        <v>176</v>
      </c>
      <c r="N204" s="241" t="s">
        <v>1418</v>
      </c>
    </row>
    <row r="205" spans="1:14" s="155" customFormat="1">
      <c r="A205" s="208" t="s">
        <v>1043</v>
      </c>
      <c r="B205" s="209" t="s">
        <v>1030</v>
      </c>
      <c r="C205" s="210" t="str">
        <f>IF(AND('Server PICS'!I$178="Yes",'Server PICS'!I$191="Yes",'Server PICS'!I$192="Yes"),"Yes","No")</f>
        <v>No</v>
      </c>
      <c r="D205" s="140" t="s">
        <v>71</v>
      </c>
      <c r="E205" s="211" t="s">
        <v>450</v>
      </c>
      <c r="F205" s="140" t="s">
        <v>1124</v>
      </c>
      <c r="G205" s="211" t="s">
        <v>682</v>
      </c>
      <c r="H205" s="140" t="s">
        <v>1124</v>
      </c>
      <c r="I205" s="211" t="s">
        <v>683</v>
      </c>
      <c r="J205" s="140"/>
      <c r="K205" s="211"/>
      <c r="L205" s="212"/>
      <c r="M205" s="241" t="s">
        <v>176</v>
      </c>
      <c r="N205" s="241" t="s">
        <v>1418</v>
      </c>
    </row>
    <row r="206" spans="1:14" s="155" customFormat="1">
      <c r="A206" s="208" t="s">
        <v>1044</v>
      </c>
      <c r="B206" s="209" t="s">
        <v>1030</v>
      </c>
      <c r="C206" s="210" t="str">
        <f>IF(AND('Server PICS'!I$178="Yes",'Server PICS'!I$189="Yes"),"Yes","No")</f>
        <v>No</v>
      </c>
      <c r="D206" s="140" t="s">
        <v>71</v>
      </c>
      <c r="E206" s="211" t="s">
        <v>450</v>
      </c>
      <c r="F206" s="140" t="s">
        <v>1124</v>
      </c>
      <c r="G206" s="211" t="s">
        <v>680</v>
      </c>
      <c r="H206" s="140"/>
      <c r="I206" s="211" t="s">
        <v>1324</v>
      </c>
      <c r="J206" s="140"/>
      <c r="K206" s="211"/>
      <c r="L206" s="212"/>
      <c r="M206" s="241" t="s">
        <v>176</v>
      </c>
      <c r="N206" s="241" t="s">
        <v>1418</v>
      </c>
    </row>
    <row r="207" spans="1:14" s="155" customFormat="1">
      <c r="A207" s="208" t="s">
        <v>1045</v>
      </c>
      <c r="B207" s="209" t="s">
        <v>1030</v>
      </c>
      <c r="C207" s="210" t="str">
        <f>IF(AND('Server PICS'!I$178="Yes",'Server PICS'!I$188="Yes"),"Yes","No")</f>
        <v>No</v>
      </c>
      <c r="D207" s="140" t="s">
        <v>71</v>
      </c>
      <c r="E207" s="211" t="s">
        <v>450</v>
      </c>
      <c r="F207" s="140" t="s">
        <v>1124</v>
      </c>
      <c r="G207" s="211" t="s">
        <v>679</v>
      </c>
      <c r="H207" s="140"/>
      <c r="I207" s="211" t="s">
        <v>1324</v>
      </c>
      <c r="J207" s="140"/>
      <c r="K207" s="211"/>
      <c r="L207" s="212"/>
      <c r="M207" s="241" t="s">
        <v>176</v>
      </c>
      <c r="N207" s="241" t="s">
        <v>1418</v>
      </c>
    </row>
    <row r="208" spans="1:14" s="155" customFormat="1">
      <c r="A208" s="208" t="s">
        <v>1046</v>
      </c>
      <c r="B208" s="209" t="s">
        <v>1030</v>
      </c>
      <c r="C208" s="210" t="str">
        <f>IF(AND('Server PICS'!I$178="Yes",'Server PICS'!I$191="Yes"),"Yes","No")</f>
        <v>No</v>
      </c>
      <c r="D208" s="140" t="s">
        <v>71</v>
      </c>
      <c r="E208" s="211" t="s">
        <v>450</v>
      </c>
      <c r="F208" s="140" t="s">
        <v>1124</v>
      </c>
      <c r="G208" s="211" t="s">
        <v>682</v>
      </c>
      <c r="H208" s="140"/>
      <c r="I208" s="211" t="s">
        <v>1324</v>
      </c>
      <c r="J208" s="140"/>
      <c r="K208" s="211"/>
      <c r="L208" s="212"/>
      <c r="M208" s="241" t="s">
        <v>176</v>
      </c>
      <c r="N208" s="241" t="s">
        <v>1418</v>
      </c>
    </row>
    <row r="209" spans="1:14" s="155" customFormat="1">
      <c r="A209" s="208" t="s">
        <v>1047</v>
      </c>
      <c r="B209" s="209" t="s">
        <v>1030</v>
      </c>
      <c r="C209" s="210" t="str">
        <f>IF(AND('Server PICS'!I$178="Yes",'Server PICS'!I$192="Yes"),"Yes","No")</f>
        <v>No</v>
      </c>
      <c r="D209" s="140" t="s">
        <v>71</v>
      </c>
      <c r="E209" s="211" t="s">
        <v>450</v>
      </c>
      <c r="F209" s="140" t="s">
        <v>1124</v>
      </c>
      <c r="G209" s="211" t="s">
        <v>683</v>
      </c>
      <c r="H209" s="140"/>
      <c r="I209" s="211" t="s">
        <v>1324</v>
      </c>
      <c r="J209" s="140"/>
      <c r="K209" s="211" t="s">
        <v>1324</v>
      </c>
      <c r="L209" s="212"/>
      <c r="M209" s="241" t="s">
        <v>176</v>
      </c>
      <c r="N209" s="241" t="s">
        <v>1418</v>
      </c>
    </row>
    <row r="210" spans="1:14" s="155" customFormat="1">
      <c r="A210" s="208" t="s">
        <v>1048</v>
      </c>
      <c r="B210" s="209" t="s">
        <v>1049</v>
      </c>
      <c r="C210" s="210" t="str">
        <f>IF(AND('Server PICS'!I$208="Yes",'Server PICS'!I$218="Yes",'Server PICS'!I$230="Yes"),"Yes","No")</f>
        <v>No</v>
      </c>
      <c r="D210" s="140" t="s">
        <v>71</v>
      </c>
      <c r="E210" s="211" t="s">
        <v>460</v>
      </c>
      <c r="F210" s="140" t="s">
        <v>1124</v>
      </c>
      <c r="G210" s="211" t="s">
        <v>692</v>
      </c>
      <c r="H210" s="140" t="s">
        <v>1124</v>
      </c>
      <c r="I210" s="211" t="s">
        <v>703</v>
      </c>
      <c r="J210" s="140"/>
      <c r="K210" s="211"/>
      <c r="L210" s="212"/>
      <c r="M210" s="241" t="s">
        <v>1400</v>
      </c>
      <c r="N210" s="241" t="s">
        <v>1417</v>
      </c>
    </row>
    <row r="211" spans="1:14" s="155" customFormat="1">
      <c r="A211" s="208" t="s">
        <v>1050</v>
      </c>
      <c r="B211" s="209" t="s">
        <v>1049</v>
      </c>
      <c r="C211" s="210" t="str">
        <f>IF(AND('Server PICS'!I$208="Yes",'Server PICS'!I$218="Yes",'Server PICS'!I$230="Yes"),"Yes","No")</f>
        <v>No</v>
      </c>
      <c r="D211" s="140" t="s">
        <v>71</v>
      </c>
      <c r="E211" s="211" t="s">
        <v>460</v>
      </c>
      <c r="F211" s="140" t="s">
        <v>1124</v>
      </c>
      <c r="G211" s="211" t="s">
        <v>692</v>
      </c>
      <c r="H211" s="140" t="s">
        <v>1124</v>
      </c>
      <c r="I211" s="211" t="s">
        <v>703</v>
      </c>
      <c r="J211" s="140"/>
      <c r="K211" s="211"/>
      <c r="L211" s="212"/>
      <c r="M211" s="241" t="s">
        <v>1400</v>
      </c>
      <c r="N211" s="241" t="s">
        <v>1417</v>
      </c>
    </row>
    <row r="212" spans="1:14" s="155" customFormat="1">
      <c r="A212" s="208" t="s">
        <v>1051</v>
      </c>
      <c r="B212" s="209" t="s">
        <v>1749</v>
      </c>
      <c r="C212" s="210" t="str">
        <f>IF(AND('Server PICS'!I$208="Yes",'Server PICS'!I$218="Yes",'Server PICS'!I$230="Yes"),"Yes","No")</f>
        <v>No</v>
      </c>
      <c r="D212" s="140" t="s">
        <v>71</v>
      </c>
      <c r="E212" s="211" t="s">
        <v>460</v>
      </c>
      <c r="F212" s="140" t="s">
        <v>1124</v>
      </c>
      <c r="G212" s="211" t="s">
        <v>692</v>
      </c>
      <c r="H212" s="140" t="s">
        <v>1124</v>
      </c>
      <c r="I212" s="211" t="s">
        <v>703</v>
      </c>
      <c r="J212" s="140"/>
      <c r="K212" s="211"/>
      <c r="L212" s="212"/>
      <c r="M212" s="241" t="s">
        <v>1400</v>
      </c>
      <c r="N212" s="241" t="s">
        <v>1417</v>
      </c>
    </row>
    <row r="213" spans="1:14" s="155" customFormat="1">
      <c r="A213" s="208" t="s">
        <v>1052</v>
      </c>
      <c r="B213" s="209" t="s">
        <v>1749</v>
      </c>
      <c r="C213" s="210" t="str">
        <f>IF(AND('Server PICS'!I$208="Yes",'Server PICS'!I$218="Yes",'Server PICS'!I$230="Yes"),"Yes","No")</f>
        <v>No</v>
      </c>
      <c r="D213" s="140" t="s">
        <v>71</v>
      </c>
      <c r="E213" s="211" t="s">
        <v>460</v>
      </c>
      <c r="F213" s="140" t="s">
        <v>1124</v>
      </c>
      <c r="G213" s="211" t="s">
        <v>692</v>
      </c>
      <c r="H213" s="140" t="s">
        <v>1124</v>
      </c>
      <c r="I213" s="211" t="s">
        <v>703</v>
      </c>
      <c r="J213" s="140"/>
      <c r="K213" s="211"/>
      <c r="L213" s="212"/>
      <c r="M213" s="241" t="s">
        <v>1400</v>
      </c>
      <c r="N213" s="241" t="s">
        <v>1417</v>
      </c>
    </row>
    <row r="214" spans="1:14" s="155" customFormat="1">
      <c r="A214" s="208" t="s">
        <v>1053</v>
      </c>
      <c r="B214" s="209" t="s">
        <v>1049</v>
      </c>
      <c r="C214" s="210" t="str">
        <f>IF(AND('Server PICS'!I$208="Yes",'Server PICS'!I$218="Yes",'Server PICS'!I$230="Yes"),"Yes","No")</f>
        <v>No</v>
      </c>
      <c r="D214" s="140" t="s">
        <v>71</v>
      </c>
      <c r="E214" s="211" t="s">
        <v>460</v>
      </c>
      <c r="F214" s="140" t="s">
        <v>1124</v>
      </c>
      <c r="G214" s="211" t="s">
        <v>692</v>
      </c>
      <c r="H214" s="140" t="s">
        <v>1124</v>
      </c>
      <c r="I214" s="211" t="s">
        <v>703</v>
      </c>
      <c r="J214" s="140"/>
      <c r="K214" s="211"/>
      <c r="L214" s="212"/>
      <c r="M214" s="241" t="s">
        <v>1400</v>
      </c>
      <c r="N214" s="241" t="s">
        <v>1417</v>
      </c>
    </row>
    <row r="215" spans="1:14" s="155" customFormat="1">
      <c r="A215" s="208" t="s">
        <v>1054</v>
      </c>
      <c r="B215" s="209" t="s">
        <v>1049</v>
      </c>
      <c r="C215" s="210" t="str">
        <f>IF(AND('Server PICS'!I$178="Yes",'Server PICS'!I$188="Yes",'Server PICS'!I$199="Yes"),"Yes","No")</f>
        <v>No</v>
      </c>
      <c r="D215" s="140" t="s">
        <v>71</v>
      </c>
      <c r="E215" s="211" t="s">
        <v>450</v>
      </c>
      <c r="F215" s="140" t="s">
        <v>1124</v>
      </c>
      <c r="G215" s="211" t="s">
        <v>679</v>
      </c>
      <c r="H215" s="140" t="s">
        <v>1124</v>
      </c>
      <c r="I215" s="211" t="s">
        <v>690</v>
      </c>
      <c r="J215" s="140"/>
      <c r="K215" s="211"/>
      <c r="L215" s="212"/>
      <c r="M215" s="241" t="s">
        <v>1400</v>
      </c>
      <c r="N215" s="241" t="s">
        <v>1418</v>
      </c>
    </row>
    <row r="216" spans="1:14" s="155" customFormat="1">
      <c r="A216" s="208" t="s">
        <v>1055</v>
      </c>
      <c r="B216" s="209" t="s">
        <v>1049</v>
      </c>
      <c r="C216" s="210" t="str">
        <f>IF(AND('Server PICS'!I$178="Yes",'Server PICS'!I$188="Yes",'Server PICS'!I$199="Yes"),"Yes","No")</f>
        <v>No</v>
      </c>
      <c r="D216" s="140" t="s">
        <v>71</v>
      </c>
      <c r="E216" s="211" t="s">
        <v>450</v>
      </c>
      <c r="F216" s="140" t="s">
        <v>1124</v>
      </c>
      <c r="G216" s="211" t="s">
        <v>679</v>
      </c>
      <c r="H216" s="140" t="s">
        <v>1124</v>
      </c>
      <c r="I216" s="211" t="s">
        <v>690</v>
      </c>
      <c r="J216" s="140"/>
      <c r="K216" s="211"/>
      <c r="L216" s="212"/>
      <c r="M216" s="241" t="s">
        <v>1400</v>
      </c>
      <c r="N216" s="241" t="s">
        <v>1418</v>
      </c>
    </row>
    <row r="217" spans="1:14" s="155" customFormat="1">
      <c r="A217" s="208" t="s">
        <v>1056</v>
      </c>
      <c r="B217" s="209" t="s">
        <v>1749</v>
      </c>
      <c r="C217" s="210" t="str">
        <f>IF(AND('Server PICS'!I$178="Yes",'Server PICS'!I$188="Yes",'Server PICS'!I$199="Yes"),"Yes","No")</f>
        <v>No</v>
      </c>
      <c r="D217" s="140" t="s">
        <v>71</v>
      </c>
      <c r="E217" s="211" t="s">
        <v>450</v>
      </c>
      <c r="F217" s="140" t="s">
        <v>1124</v>
      </c>
      <c r="G217" s="211" t="s">
        <v>679</v>
      </c>
      <c r="H217" s="140" t="s">
        <v>1124</v>
      </c>
      <c r="I217" s="211" t="s">
        <v>690</v>
      </c>
      <c r="J217" s="140"/>
      <c r="K217" s="211"/>
      <c r="L217" s="212"/>
      <c r="M217" s="241" t="s">
        <v>1400</v>
      </c>
      <c r="N217" s="241" t="s">
        <v>1418</v>
      </c>
    </row>
    <row r="218" spans="1:14" s="155" customFormat="1">
      <c r="A218" s="208" t="s">
        <v>1057</v>
      </c>
      <c r="B218" s="209" t="s">
        <v>1749</v>
      </c>
      <c r="C218" s="210" t="str">
        <f>IF(AND('Server PICS'!I$178="Yes",'Server PICS'!I$188="Yes",'Server PICS'!I$199="Yes"),"Yes","No")</f>
        <v>No</v>
      </c>
      <c r="D218" s="140" t="s">
        <v>71</v>
      </c>
      <c r="E218" s="211" t="s">
        <v>450</v>
      </c>
      <c r="F218" s="140" t="s">
        <v>1124</v>
      </c>
      <c r="G218" s="211" t="s">
        <v>679</v>
      </c>
      <c r="H218" s="140" t="s">
        <v>1124</v>
      </c>
      <c r="I218" s="211" t="s">
        <v>690</v>
      </c>
      <c r="J218" s="140"/>
      <c r="K218" s="211"/>
      <c r="L218" s="212"/>
      <c r="M218" s="241" t="s">
        <v>1400</v>
      </c>
      <c r="N218" s="241" t="s">
        <v>1418</v>
      </c>
    </row>
    <row r="219" spans="1:14" s="155" customFormat="1">
      <c r="A219" s="208" t="s">
        <v>1058</v>
      </c>
      <c r="B219" s="209" t="s">
        <v>1049</v>
      </c>
      <c r="C219" s="210" t="str">
        <f>IF(AND('Server PICS'!I$178="Yes",'Server PICS'!I$188="Yes",'Server PICS'!I$199="Yes"),"Yes","No")</f>
        <v>No</v>
      </c>
      <c r="D219" s="140" t="s">
        <v>71</v>
      </c>
      <c r="E219" s="211" t="s">
        <v>450</v>
      </c>
      <c r="F219" s="140" t="s">
        <v>1124</v>
      </c>
      <c r="G219" s="211" t="s">
        <v>679</v>
      </c>
      <c r="H219" s="140" t="s">
        <v>1124</v>
      </c>
      <c r="I219" s="211" t="s">
        <v>690</v>
      </c>
      <c r="J219" s="140"/>
      <c r="K219" s="211"/>
      <c r="L219" s="212"/>
      <c r="M219" s="241" t="s">
        <v>1400</v>
      </c>
      <c r="N219" s="241" t="s">
        <v>1418</v>
      </c>
    </row>
    <row r="220" spans="1:14" s="155" customFormat="1">
      <c r="A220" s="208" t="s">
        <v>1059</v>
      </c>
      <c r="B220" s="209" t="s">
        <v>1060</v>
      </c>
      <c r="C220" s="210" t="str">
        <f>IF(AND('Server PICS'!I$208="Yes",'Server PICS'!I$218="Yes",'Server PICS'!I$234="Yes"),"Yes","No")</f>
        <v>No</v>
      </c>
      <c r="D220" s="140" t="s">
        <v>71</v>
      </c>
      <c r="E220" s="211" t="s">
        <v>460</v>
      </c>
      <c r="F220" s="140" t="s">
        <v>1124</v>
      </c>
      <c r="G220" s="211" t="s">
        <v>692</v>
      </c>
      <c r="H220" s="140" t="s">
        <v>1124</v>
      </c>
      <c r="I220" s="211" t="s">
        <v>704</v>
      </c>
      <c r="J220" s="140"/>
      <c r="K220" s="211" t="s">
        <v>1324</v>
      </c>
      <c r="L220" s="212"/>
      <c r="M220" s="241" t="s">
        <v>1401</v>
      </c>
      <c r="N220" s="241" t="s">
        <v>1417</v>
      </c>
    </row>
    <row r="221" spans="1:14" s="155" customFormat="1">
      <c r="A221" s="208" t="s">
        <v>1061</v>
      </c>
      <c r="B221" s="209" t="s">
        <v>1060</v>
      </c>
      <c r="C221" s="210" t="str">
        <f>IF(AND('Server PICS'!I$208="Yes",'Server PICS'!I$218="Yes",'Server PICS'!I$234="Yes"),"Yes","No")</f>
        <v>No</v>
      </c>
      <c r="D221" s="140" t="s">
        <v>71</v>
      </c>
      <c r="E221" s="211" t="s">
        <v>460</v>
      </c>
      <c r="F221" s="140" t="s">
        <v>1124</v>
      </c>
      <c r="G221" s="211" t="s">
        <v>692</v>
      </c>
      <c r="H221" s="140" t="s">
        <v>1124</v>
      </c>
      <c r="I221" s="211" t="s">
        <v>704</v>
      </c>
      <c r="J221" s="140"/>
      <c r="K221" s="211" t="s">
        <v>1324</v>
      </c>
      <c r="L221" s="212"/>
      <c r="M221" s="241" t="s">
        <v>1401</v>
      </c>
      <c r="N221" s="241" t="s">
        <v>1417</v>
      </c>
    </row>
    <row r="222" spans="1:14" s="155" customFormat="1">
      <c r="A222" s="208" t="s">
        <v>1062</v>
      </c>
      <c r="B222" s="209" t="s">
        <v>1751</v>
      </c>
      <c r="C222" s="210" t="str">
        <f>IF(AND('Server PICS'!I$208="Yes",'Server PICS'!I$218="Yes",'Server PICS'!I$234="Yes"),"Yes","No")</f>
        <v>No</v>
      </c>
      <c r="D222" s="140" t="s">
        <v>71</v>
      </c>
      <c r="E222" s="211" t="s">
        <v>460</v>
      </c>
      <c r="F222" s="140" t="s">
        <v>1124</v>
      </c>
      <c r="G222" s="211" t="s">
        <v>692</v>
      </c>
      <c r="H222" s="140" t="s">
        <v>1124</v>
      </c>
      <c r="I222" s="211" t="s">
        <v>704</v>
      </c>
      <c r="J222" s="140"/>
      <c r="K222" s="211" t="s">
        <v>1324</v>
      </c>
      <c r="L222" s="212"/>
      <c r="M222" s="241" t="s">
        <v>1401</v>
      </c>
      <c r="N222" s="241" t="s">
        <v>1417</v>
      </c>
    </row>
    <row r="223" spans="1:14" s="155" customFormat="1">
      <c r="A223" s="208" t="s">
        <v>1063</v>
      </c>
      <c r="B223" s="209" t="s">
        <v>1060</v>
      </c>
      <c r="C223" s="210" t="str">
        <f>IF(AND('Server PICS'!I$208="Yes",'Server PICS'!I$218="Yes",'Server PICS'!I$234="Yes",'Server PICS'!I$237="Yes"),"Yes","No")</f>
        <v>No</v>
      </c>
      <c r="D223" s="140" t="s">
        <v>71</v>
      </c>
      <c r="E223" s="211" t="s">
        <v>460</v>
      </c>
      <c r="F223" s="140" t="s">
        <v>1124</v>
      </c>
      <c r="G223" s="211" t="s">
        <v>692</v>
      </c>
      <c r="H223" s="140" t="s">
        <v>1124</v>
      </c>
      <c r="I223" s="211" t="s">
        <v>704</v>
      </c>
      <c r="J223" s="185" t="s">
        <v>1124</v>
      </c>
      <c r="K223" s="242" t="s">
        <v>1387</v>
      </c>
      <c r="L223" s="212"/>
      <c r="M223" s="241" t="s">
        <v>1401</v>
      </c>
      <c r="N223" s="241" t="s">
        <v>1417</v>
      </c>
    </row>
    <row r="224" spans="1:14" s="155" customFormat="1">
      <c r="A224" s="208" t="s">
        <v>1064</v>
      </c>
      <c r="B224" s="214" t="s">
        <v>2146</v>
      </c>
      <c r="C224" s="245" t="str">
        <f>IF(AND('Server PICS'!I$208="Yes",'Server PICS'!I$218="Yes",'Server PICS'!I$234="Yes",'Server PICS'!I$222="Yes"),"Yes","No")</f>
        <v>No</v>
      </c>
      <c r="D224" s="140" t="s">
        <v>71</v>
      </c>
      <c r="E224" s="211" t="s">
        <v>460</v>
      </c>
      <c r="F224" s="140" t="s">
        <v>1124</v>
      </c>
      <c r="G224" s="211" t="s">
        <v>692</v>
      </c>
      <c r="H224" s="140" t="s">
        <v>1124</v>
      </c>
      <c r="I224" s="211" t="s">
        <v>704</v>
      </c>
      <c r="J224" s="215" t="s">
        <v>1124</v>
      </c>
      <c r="K224" s="246" t="s">
        <v>2148</v>
      </c>
      <c r="L224" s="212"/>
      <c r="M224" s="241" t="s">
        <v>1401</v>
      </c>
      <c r="N224" s="241" t="s">
        <v>1417</v>
      </c>
    </row>
    <row r="225" spans="1:14" s="155" customFormat="1">
      <c r="A225" s="208" t="s">
        <v>1355</v>
      </c>
      <c r="B225" s="209" t="s">
        <v>1751</v>
      </c>
      <c r="C225" s="210" t="str">
        <f>IF(AND('Server PICS'!I$208="Yes",'Server PICS'!I$218="Yes",'Server PICS'!I$234="Yes"),"Yes","No")</f>
        <v>No</v>
      </c>
      <c r="D225" s="140" t="s">
        <v>71</v>
      </c>
      <c r="E225" s="211" t="s">
        <v>460</v>
      </c>
      <c r="F225" s="140" t="s">
        <v>1124</v>
      </c>
      <c r="G225" s="211" t="s">
        <v>692</v>
      </c>
      <c r="H225" s="140" t="s">
        <v>1124</v>
      </c>
      <c r="I225" s="211" t="s">
        <v>704</v>
      </c>
      <c r="J225" s="140"/>
      <c r="K225" s="211" t="s">
        <v>1324</v>
      </c>
      <c r="L225" s="212"/>
      <c r="M225" s="241" t="s">
        <v>1401</v>
      </c>
      <c r="N225" s="241" t="s">
        <v>1417</v>
      </c>
    </row>
    <row r="226" spans="1:14" s="155" customFormat="1">
      <c r="A226" s="208" t="s">
        <v>1065</v>
      </c>
      <c r="B226" s="209" t="s">
        <v>1060</v>
      </c>
      <c r="C226" s="210" t="str">
        <f>IF(AND('Server PICS'!I$178="Yes",'Server PICS'!I$188="Yes",'Server PICS'!I$203="Yes"),"Yes","No")</f>
        <v>No</v>
      </c>
      <c r="D226" s="140" t="s">
        <v>71</v>
      </c>
      <c r="E226" s="211" t="s">
        <v>450</v>
      </c>
      <c r="F226" s="140" t="s">
        <v>1124</v>
      </c>
      <c r="G226" s="211" t="s">
        <v>679</v>
      </c>
      <c r="H226" s="140" t="s">
        <v>1124</v>
      </c>
      <c r="I226" s="211" t="s">
        <v>691</v>
      </c>
      <c r="J226" s="140"/>
      <c r="K226" s="211" t="s">
        <v>1324</v>
      </c>
      <c r="L226" s="212"/>
      <c r="M226" s="241" t="s">
        <v>1401</v>
      </c>
      <c r="N226" s="241" t="s">
        <v>1418</v>
      </c>
    </row>
    <row r="227" spans="1:14" s="155" customFormat="1">
      <c r="A227" s="208" t="s">
        <v>1066</v>
      </c>
      <c r="B227" s="209" t="s">
        <v>1060</v>
      </c>
      <c r="C227" s="210" t="str">
        <f>IF(AND('Server PICS'!I$178="Yes",'Server PICS'!I$188="Yes",'Server PICS'!I$203="Yes"),"Yes","No")</f>
        <v>No</v>
      </c>
      <c r="D227" s="140" t="s">
        <v>71</v>
      </c>
      <c r="E227" s="211" t="s">
        <v>450</v>
      </c>
      <c r="F227" s="140" t="s">
        <v>1124</v>
      </c>
      <c r="G227" s="211" t="s">
        <v>679</v>
      </c>
      <c r="H227" s="140" t="s">
        <v>1124</v>
      </c>
      <c r="I227" s="211" t="s">
        <v>691</v>
      </c>
      <c r="J227" s="140"/>
      <c r="K227" s="211" t="s">
        <v>1324</v>
      </c>
      <c r="L227" s="212"/>
      <c r="M227" s="241" t="s">
        <v>1401</v>
      </c>
      <c r="N227" s="241" t="s">
        <v>1418</v>
      </c>
    </row>
    <row r="228" spans="1:14" s="155" customFormat="1">
      <c r="A228" s="208" t="s">
        <v>1067</v>
      </c>
      <c r="B228" s="209" t="s">
        <v>1060</v>
      </c>
      <c r="C228" s="210" t="str">
        <f>IF(AND('Server PICS'!I$178="Yes",'Server PICS'!I$188="Yes",'Server PICS'!I$203="Yes"),"Yes","No")</f>
        <v>No</v>
      </c>
      <c r="D228" s="140" t="s">
        <v>71</v>
      </c>
      <c r="E228" s="211" t="s">
        <v>450</v>
      </c>
      <c r="F228" s="140" t="s">
        <v>1124</v>
      </c>
      <c r="G228" s="211" t="s">
        <v>679</v>
      </c>
      <c r="H228" s="140" t="s">
        <v>1124</v>
      </c>
      <c r="I228" s="211" t="s">
        <v>691</v>
      </c>
      <c r="J228" s="140"/>
      <c r="K228" s="211" t="s">
        <v>1324</v>
      </c>
      <c r="L228" s="212"/>
      <c r="M228" s="241" t="s">
        <v>1401</v>
      </c>
      <c r="N228" s="241" t="s">
        <v>1418</v>
      </c>
    </row>
    <row r="229" spans="1:14" s="155" customFormat="1">
      <c r="A229" s="208" t="s">
        <v>1068</v>
      </c>
      <c r="B229" s="209" t="s">
        <v>1060</v>
      </c>
      <c r="C229" s="210" t="str">
        <f>IF(AND('Server PICS'!I$178="Yes",'Server PICS'!I$188="Yes",'Server PICS'!I$203="Yes"),"Yes","No")</f>
        <v>No</v>
      </c>
      <c r="D229" s="140" t="s">
        <v>71</v>
      </c>
      <c r="E229" s="211" t="s">
        <v>450</v>
      </c>
      <c r="F229" s="140" t="s">
        <v>1124</v>
      </c>
      <c r="G229" s="211" t="s">
        <v>679</v>
      </c>
      <c r="H229" s="140" t="s">
        <v>1124</v>
      </c>
      <c r="I229" s="211" t="s">
        <v>691</v>
      </c>
      <c r="J229" s="140"/>
      <c r="K229" s="211" t="s">
        <v>1324</v>
      </c>
      <c r="L229" s="212"/>
      <c r="M229" s="241" t="s">
        <v>1401</v>
      </c>
      <c r="N229" s="241" t="s">
        <v>1418</v>
      </c>
    </row>
    <row r="230" spans="1:14" s="155" customFormat="1">
      <c r="A230" s="208" t="s">
        <v>1356</v>
      </c>
      <c r="B230" s="209" t="s">
        <v>1060</v>
      </c>
      <c r="C230" s="210" t="str">
        <f>IF(AND('Server PICS'!I$178="Yes",'Server PICS'!I$188="Yes",'Server PICS'!I$203="Yes",'Server PICS'!I$207="Yes"),"Yes","No")</f>
        <v>No</v>
      </c>
      <c r="D230" s="140" t="s">
        <v>71</v>
      </c>
      <c r="E230" s="211" t="s">
        <v>450</v>
      </c>
      <c r="F230" s="140" t="s">
        <v>1124</v>
      </c>
      <c r="G230" s="211" t="s">
        <v>679</v>
      </c>
      <c r="H230" s="140" t="s">
        <v>1124</v>
      </c>
      <c r="I230" s="211" t="s">
        <v>691</v>
      </c>
      <c r="J230" s="140" t="s">
        <v>1124</v>
      </c>
      <c r="K230" s="211" t="s">
        <v>1386</v>
      </c>
      <c r="L230" s="212"/>
      <c r="M230" s="241" t="s">
        <v>1401</v>
      </c>
      <c r="N230" s="241" t="s">
        <v>1418</v>
      </c>
    </row>
    <row r="231" spans="1:14" s="155" customFormat="1">
      <c r="A231" s="208" t="s">
        <v>1357</v>
      </c>
      <c r="B231" s="209" t="s">
        <v>1060</v>
      </c>
      <c r="C231" s="210" t="str">
        <f>IF(AND('Server PICS'!I$178="Yes",'Server PICS'!I$188="Yes",'Server PICS'!I$203="Yes",'Server PICS'!I$207="Yes"),"Yes","No")</f>
        <v>No</v>
      </c>
      <c r="D231" s="140" t="s">
        <v>71</v>
      </c>
      <c r="E231" s="211" t="s">
        <v>450</v>
      </c>
      <c r="F231" s="140" t="s">
        <v>1124</v>
      </c>
      <c r="G231" s="211" t="s">
        <v>679</v>
      </c>
      <c r="H231" s="140" t="s">
        <v>1124</v>
      </c>
      <c r="I231" s="211" t="s">
        <v>691</v>
      </c>
      <c r="J231" s="140" t="s">
        <v>1124</v>
      </c>
      <c r="K231" s="211" t="s">
        <v>1386</v>
      </c>
      <c r="L231" s="212"/>
      <c r="M231" s="241" t="s">
        <v>1401</v>
      </c>
      <c r="N231" s="241" t="s">
        <v>1418</v>
      </c>
    </row>
    <row r="232" spans="1:14" s="155" customFormat="1">
      <c r="A232" s="208" t="s">
        <v>1069</v>
      </c>
      <c r="B232" s="209" t="s">
        <v>1603</v>
      </c>
      <c r="C232" s="210" t="str">
        <f>IF('Server PICS'!I$138="Yes","Yes","No")</f>
        <v>No</v>
      </c>
      <c r="D232" s="140" t="s">
        <v>3</v>
      </c>
      <c r="E232" s="211" t="s">
        <v>663</v>
      </c>
      <c r="F232" s="140"/>
      <c r="G232" s="211" t="s">
        <v>1324</v>
      </c>
      <c r="H232" s="140"/>
      <c r="I232" s="211" t="s">
        <v>1324</v>
      </c>
      <c r="J232" s="140"/>
      <c r="K232" s="211"/>
      <c r="L232" s="212"/>
      <c r="M232" s="241" t="s">
        <v>1421</v>
      </c>
      <c r="N232" s="241" t="s">
        <v>1419</v>
      </c>
    </row>
    <row r="233" spans="1:14" s="155" customFormat="1">
      <c r="A233" s="208" t="s">
        <v>1070</v>
      </c>
      <c r="B233" s="209">
        <v>1.1000000000000001</v>
      </c>
      <c r="C233" s="210" t="str">
        <f>IF('Server PICS'!I$138="Yes","Yes","No")</f>
        <v>No</v>
      </c>
      <c r="D233" s="140" t="s">
        <v>3</v>
      </c>
      <c r="E233" s="211" t="s">
        <v>663</v>
      </c>
      <c r="F233" s="140"/>
      <c r="G233" s="211" t="s">
        <v>1324</v>
      </c>
      <c r="H233" s="140"/>
      <c r="I233" s="211" t="s">
        <v>1324</v>
      </c>
      <c r="J233" s="140"/>
      <c r="K233" s="211"/>
      <c r="L233" s="212"/>
      <c r="M233" s="241" t="s">
        <v>1421</v>
      </c>
      <c r="N233" s="241" t="s">
        <v>1419</v>
      </c>
    </row>
    <row r="234" spans="1:14" s="155" customFormat="1">
      <c r="A234" s="208" t="s">
        <v>1071</v>
      </c>
      <c r="B234" s="209" t="s">
        <v>1970</v>
      </c>
      <c r="C234" s="210" t="str">
        <f>IF('Server PICS'!I$140="Yes","Yes","No")</f>
        <v>No</v>
      </c>
      <c r="D234" s="140" t="s">
        <v>3</v>
      </c>
      <c r="E234" s="211" t="s">
        <v>664</v>
      </c>
      <c r="F234" s="140"/>
      <c r="G234" s="211" t="s">
        <v>1324</v>
      </c>
      <c r="H234" s="140"/>
      <c r="I234" s="211" t="s">
        <v>1324</v>
      </c>
      <c r="J234" s="140"/>
      <c r="K234" s="211"/>
      <c r="L234" s="212"/>
      <c r="M234" s="241" t="s">
        <v>1421</v>
      </c>
      <c r="N234" s="241" t="s">
        <v>1419</v>
      </c>
    </row>
    <row r="235" spans="1:14" s="155" customFormat="1">
      <c r="A235" s="208" t="s">
        <v>1073</v>
      </c>
      <c r="B235" s="209" t="s">
        <v>1750</v>
      </c>
      <c r="C235" s="210" t="str">
        <f>IF('Server PICS'!I$142="Yes","Yes","No")</f>
        <v>No</v>
      </c>
      <c r="D235" s="140" t="s">
        <v>3</v>
      </c>
      <c r="E235" s="211" t="s">
        <v>666</v>
      </c>
      <c r="F235" s="140"/>
      <c r="G235" s="211" t="s">
        <v>1324</v>
      </c>
      <c r="H235" s="140"/>
      <c r="I235" s="211" t="s">
        <v>1324</v>
      </c>
      <c r="J235" s="140"/>
      <c r="K235" s="211"/>
      <c r="L235" s="212"/>
      <c r="M235" s="241" t="s">
        <v>1421</v>
      </c>
      <c r="N235" s="241" t="s">
        <v>1419</v>
      </c>
    </row>
    <row r="236" spans="1:14" s="155" customFormat="1">
      <c r="A236" s="208" t="s">
        <v>1074</v>
      </c>
      <c r="B236" s="209" t="s">
        <v>1970</v>
      </c>
      <c r="C236" s="210" t="str">
        <f>IF('Server PICS'!I$141="Yes","Yes","No")</f>
        <v>No</v>
      </c>
      <c r="D236" s="140" t="s">
        <v>3</v>
      </c>
      <c r="E236" s="211" t="s">
        <v>665</v>
      </c>
      <c r="F236" s="140"/>
      <c r="G236" s="211" t="s">
        <v>1324</v>
      </c>
      <c r="H236" s="140"/>
      <c r="I236" s="211" t="s">
        <v>1324</v>
      </c>
      <c r="J236" s="140"/>
      <c r="K236" s="211"/>
      <c r="L236" s="212"/>
      <c r="M236" s="241" t="s">
        <v>1421</v>
      </c>
      <c r="N236" s="241" t="s">
        <v>1419</v>
      </c>
    </row>
    <row r="237" spans="1:14" s="155" customFormat="1">
      <c r="A237" s="208" t="s">
        <v>1075</v>
      </c>
      <c r="B237" s="209">
        <v>1.1000000000000001</v>
      </c>
      <c r="C237" s="210" t="str">
        <f>IF('Server PICS'!I$134="Yes","Yes","No")</f>
        <v>No</v>
      </c>
      <c r="D237" s="140" t="s">
        <v>3</v>
      </c>
      <c r="E237" s="211" t="s">
        <v>483</v>
      </c>
      <c r="F237" s="140"/>
      <c r="G237" s="211" t="s">
        <v>1324</v>
      </c>
      <c r="H237" s="140"/>
      <c r="I237" s="211" t="s">
        <v>1324</v>
      </c>
      <c r="J237" s="140"/>
      <c r="K237" s="211"/>
      <c r="L237" s="212"/>
      <c r="M237" s="241" t="s">
        <v>1421</v>
      </c>
      <c r="N237" s="241" t="s">
        <v>1419</v>
      </c>
    </row>
    <row r="238" spans="1:14" s="155" customFormat="1">
      <c r="A238" s="208" t="s">
        <v>1076</v>
      </c>
      <c r="B238" s="209">
        <v>1.1000000000000001</v>
      </c>
      <c r="C238" s="210" t="str">
        <f>IF('Server PICS'!I$134="Yes","Yes","No")</f>
        <v>No</v>
      </c>
      <c r="D238" s="140" t="s">
        <v>3</v>
      </c>
      <c r="E238" s="211" t="s">
        <v>483</v>
      </c>
      <c r="F238" s="140"/>
      <c r="G238" s="211" t="s">
        <v>1324</v>
      </c>
      <c r="H238" s="140"/>
      <c r="I238" s="211" t="s">
        <v>1324</v>
      </c>
      <c r="J238" s="140"/>
      <c r="K238" s="211"/>
      <c r="L238" s="212"/>
      <c r="M238" s="241" t="s">
        <v>1421</v>
      </c>
      <c r="N238" s="241" t="s">
        <v>1419</v>
      </c>
    </row>
    <row r="239" spans="1:14" s="155" customFormat="1">
      <c r="A239" s="208" t="s">
        <v>1077</v>
      </c>
      <c r="B239" s="209">
        <v>1.1000000000000001</v>
      </c>
      <c r="C239" s="210" t="str">
        <f>IF('Server PICS'!I$135="Yes","Yes","No")</f>
        <v>No</v>
      </c>
      <c r="D239" s="140" t="s">
        <v>3</v>
      </c>
      <c r="E239" s="211" t="s">
        <v>290</v>
      </c>
      <c r="F239" s="140"/>
      <c r="G239" s="211" t="s">
        <v>1324</v>
      </c>
      <c r="H239" s="140"/>
      <c r="I239" s="211" t="s">
        <v>1324</v>
      </c>
      <c r="J239" s="140"/>
      <c r="K239" s="211"/>
      <c r="L239" s="212"/>
      <c r="M239" s="241" t="s">
        <v>1421</v>
      </c>
      <c r="N239" s="241" t="s">
        <v>1419</v>
      </c>
    </row>
    <row r="240" spans="1:14" s="155" customFormat="1">
      <c r="A240" s="208" t="s">
        <v>1078</v>
      </c>
      <c r="B240" s="209">
        <v>1.1000000000000001</v>
      </c>
      <c r="C240" s="210" t="str">
        <f>IF('Server PICS'!I$136="Yes","Yes","No")</f>
        <v>No</v>
      </c>
      <c r="D240" s="140" t="s">
        <v>71</v>
      </c>
      <c r="E240" s="211" t="s">
        <v>291</v>
      </c>
      <c r="F240" s="140"/>
      <c r="G240" s="211" t="s">
        <v>1324</v>
      </c>
      <c r="H240" s="140"/>
      <c r="I240" s="211" t="s">
        <v>1324</v>
      </c>
      <c r="J240" s="140"/>
      <c r="K240" s="211"/>
      <c r="L240" s="212"/>
      <c r="M240" s="241" t="s">
        <v>1421</v>
      </c>
      <c r="N240" s="241" t="s">
        <v>1419</v>
      </c>
    </row>
    <row r="241" spans="1:14" s="155" customFormat="1">
      <c r="A241" s="208" t="s">
        <v>1079</v>
      </c>
      <c r="B241" s="209">
        <v>1.1000000000000001</v>
      </c>
      <c r="C241" s="210" t="str">
        <f>IF(AND('Server PICS'!I$170="Yes",'Server PICS'!I$138="Yes",'Server PICS'!I$139="Yes",'Server PICS'!I$172="Yes"),"Yes","No")</f>
        <v>No</v>
      </c>
      <c r="D241" s="140" t="s">
        <v>71</v>
      </c>
      <c r="E241" s="211" t="s">
        <v>543</v>
      </c>
      <c r="F241" s="140" t="s">
        <v>1124</v>
      </c>
      <c r="G241" s="211" t="s">
        <v>663</v>
      </c>
      <c r="H241" s="140" t="s">
        <v>1124</v>
      </c>
      <c r="I241" s="211" t="s">
        <v>292</v>
      </c>
      <c r="J241" s="140" t="s">
        <v>1124</v>
      </c>
      <c r="K241" s="211" t="s">
        <v>309</v>
      </c>
      <c r="L241" s="212"/>
      <c r="M241" s="241" t="s">
        <v>1421</v>
      </c>
      <c r="N241" s="241" t="s">
        <v>1419</v>
      </c>
    </row>
    <row r="242" spans="1:14" s="155" customFormat="1">
      <c r="A242" s="208" t="s">
        <v>1080</v>
      </c>
      <c r="B242" s="209" t="s">
        <v>1072</v>
      </c>
      <c r="C242" s="210" t="str">
        <f>IF('Server PICS'!I$143="Yes","Yes","No")</f>
        <v>No</v>
      </c>
      <c r="D242" s="140" t="s">
        <v>3</v>
      </c>
      <c r="E242" s="211" t="s">
        <v>667</v>
      </c>
      <c r="F242" s="140"/>
      <c r="G242" s="211" t="s">
        <v>1324</v>
      </c>
      <c r="H242" s="140"/>
      <c r="I242" s="211" t="s">
        <v>1324</v>
      </c>
      <c r="J242" s="140"/>
      <c r="K242" s="211"/>
      <c r="L242" s="212"/>
      <c r="M242" s="241" t="s">
        <v>1421</v>
      </c>
      <c r="N242" s="241" t="s">
        <v>1420</v>
      </c>
    </row>
    <row r="243" spans="1:14" s="155" customFormat="1">
      <c r="A243" s="208" t="s">
        <v>1388</v>
      </c>
      <c r="B243" s="209" t="s">
        <v>1072</v>
      </c>
      <c r="C243" s="210" t="str">
        <f>IF('Server PICS'!I$143="Yes","Yes","No")</f>
        <v>No</v>
      </c>
      <c r="D243" s="140" t="s">
        <v>3</v>
      </c>
      <c r="E243" s="211" t="s">
        <v>667</v>
      </c>
      <c r="F243" s="140"/>
      <c r="G243" s="211" t="s">
        <v>1324</v>
      </c>
      <c r="H243" s="140"/>
      <c r="I243" s="211" t="s">
        <v>1324</v>
      </c>
      <c r="J243" s="140"/>
      <c r="K243" s="211"/>
      <c r="L243" s="212"/>
      <c r="M243" s="241" t="s">
        <v>1421</v>
      </c>
      <c r="N243" s="241" t="s">
        <v>1420</v>
      </c>
    </row>
    <row r="244" spans="1:14" s="155" customFormat="1">
      <c r="A244" s="208" t="s">
        <v>1081</v>
      </c>
      <c r="B244" s="209" t="s">
        <v>1970</v>
      </c>
      <c r="C244" s="210" t="str">
        <f>IF('Server PICS'!I$145="Yes","Yes","No")</f>
        <v>No</v>
      </c>
      <c r="D244" s="140" t="s">
        <v>3</v>
      </c>
      <c r="E244" s="211" t="s">
        <v>669</v>
      </c>
      <c r="F244" s="140"/>
      <c r="G244" s="211" t="s">
        <v>1324</v>
      </c>
      <c r="H244" s="140"/>
      <c r="I244" s="211" t="s">
        <v>1324</v>
      </c>
      <c r="J244" s="140"/>
      <c r="K244" s="211"/>
      <c r="L244" s="212"/>
      <c r="M244" s="241" t="s">
        <v>1421</v>
      </c>
      <c r="N244" s="241" t="s">
        <v>1420</v>
      </c>
    </row>
    <row r="245" spans="1:14" s="155" customFormat="1">
      <c r="A245" s="208" t="s">
        <v>1082</v>
      </c>
      <c r="B245" s="209" t="s">
        <v>1072</v>
      </c>
      <c r="C245" s="210" t="str">
        <f>IF('Server PICS'!I$144="Yes","Yes","No")</f>
        <v>No</v>
      </c>
      <c r="D245" s="140" t="s">
        <v>3</v>
      </c>
      <c r="E245" s="211" t="s">
        <v>668</v>
      </c>
      <c r="F245" s="140"/>
      <c r="G245" s="211" t="s">
        <v>1324</v>
      </c>
      <c r="H245" s="140"/>
      <c r="I245" s="211" t="s">
        <v>1324</v>
      </c>
      <c r="J245" s="140"/>
      <c r="K245" s="211"/>
      <c r="L245" s="212"/>
      <c r="M245" s="241" t="s">
        <v>1421</v>
      </c>
      <c r="N245" s="241" t="s">
        <v>1420</v>
      </c>
    </row>
    <row r="246" spans="1:14" s="155" customFormat="1">
      <c r="A246" s="208" t="s">
        <v>1083</v>
      </c>
      <c r="B246" s="209" t="s">
        <v>1072</v>
      </c>
      <c r="C246" s="210" t="str">
        <f>IF('Server PICS'!I$144="Yes","Yes","No")</f>
        <v>No</v>
      </c>
      <c r="D246" s="140" t="s">
        <v>3</v>
      </c>
      <c r="E246" s="211" t="s">
        <v>668</v>
      </c>
      <c r="F246" s="140"/>
      <c r="G246" s="211" t="s">
        <v>1324</v>
      </c>
      <c r="H246" s="140"/>
      <c r="I246" s="211" t="s">
        <v>1324</v>
      </c>
      <c r="J246" s="140"/>
      <c r="K246" s="211"/>
      <c r="L246" s="212"/>
      <c r="M246" s="241" t="s">
        <v>1421</v>
      </c>
      <c r="N246" s="241" t="s">
        <v>1420</v>
      </c>
    </row>
    <row r="247" spans="1:14" s="155" customFormat="1">
      <c r="A247" s="208" t="s">
        <v>1084</v>
      </c>
      <c r="B247" s="209">
        <v>1.1000000000000001</v>
      </c>
      <c r="C247" s="210" t="str">
        <f>IF('Server PICS'!I$151="Yes","Yes","No")</f>
        <v>No</v>
      </c>
      <c r="D247" s="140" t="s">
        <v>3</v>
      </c>
      <c r="E247" s="211" t="s">
        <v>673</v>
      </c>
      <c r="F247" s="140"/>
      <c r="G247" s="211" t="s">
        <v>1324</v>
      </c>
      <c r="H247" s="140"/>
      <c r="I247" s="211" t="s">
        <v>1324</v>
      </c>
      <c r="J247" s="140"/>
      <c r="K247" s="211"/>
      <c r="L247" s="212"/>
      <c r="M247" s="241" t="s">
        <v>1422</v>
      </c>
      <c r="N247" s="241" t="s">
        <v>1423</v>
      </c>
    </row>
    <row r="248" spans="1:14" s="155" customFormat="1">
      <c r="A248" s="208" t="s">
        <v>1085</v>
      </c>
      <c r="B248" s="209" t="s">
        <v>1604</v>
      </c>
      <c r="C248" s="210" t="str">
        <f>IF('Server PICS'!I$152="Yes","Yes","No")</f>
        <v>No</v>
      </c>
      <c r="D248" s="140" t="s">
        <v>3</v>
      </c>
      <c r="E248" s="211" t="s">
        <v>674</v>
      </c>
      <c r="F248" s="140"/>
      <c r="G248" s="211" t="s">
        <v>1324</v>
      </c>
      <c r="H248" s="140"/>
      <c r="I248" s="211" t="s">
        <v>1324</v>
      </c>
      <c r="J248" s="140"/>
      <c r="K248" s="211"/>
      <c r="L248" s="212"/>
      <c r="M248" s="241" t="s">
        <v>1422</v>
      </c>
      <c r="N248" s="241" t="s">
        <v>1423</v>
      </c>
    </row>
    <row r="249" spans="1:14" s="155" customFormat="1">
      <c r="A249" s="208" t="s">
        <v>1086</v>
      </c>
      <c r="B249" s="209" t="s">
        <v>1604</v>
      </c>
      <c r="C249" s="210" t="str">
        <f>IF('Server PICS'!I$153="Yes","Yes","No")</f>
        <v>No</v>
      </c>
      <c r="D249" s="140" t="s">
        <v>3</v>
      </c>
      <c r="E249" s="211" t="s">
        <v>675</v>
      </c>
      <c r="F249" s="140"/>
      <c r="G249" s="211" t="s">
        <v>1324</v>
      </c>
      <c r="H249" s="140"/>
      <c r="I249" s="211" t="s">
        <v>1324</v>
      </c>
      <c r="J249" s="140"/>
      <c r="K249" s="211"/>
      <c r="L249" s="212"/>
      <c r="M249" s="241" t="s">
        <v>1422</v>
      </c>
      <c r="N249" s="241" t="s">
        <v>1423</v>
      </c>
    </row>
    <row r="250" spans="1:14" s="155" customFormat="1">
      <c r="A250" s="208" t="s">
        <v>1087</v>
      </c>
      <c r="B250" s="209">
        <v>1.1000000000000001</v>
      </c>
      <c r="C250" s="210" t="str">
        <f>IF('Server PICS'!I$149="Yes","Yes","No")</f>
        <v>No</v>
      </c>
      <c r="D250" s="140" t="s">
        <v>3</v>
      </c>
      <c r="E250" s="211" t="s">
        <v>482</v>
      </c>
      <c r="F250" s="140"/>
      <c r="G250" s="211" t="s">
        <v>1324</v>
      </c>
      <c r="H250" s="140"/>
      <c r="I250" s="211" t="s">
        <v>1324</v>
      </c>
      <c r="J250" s="140"/>
      <c r="K250" s="211"/>
      <c r="L250" s="212"/>
      <c r="M250" s="241" t="s">
        <v>1422</v>
      </c>
      <c r="N250" s="241" t="s">
        <v>1423</v>
      </c>
    </row>
    <row r="251" spans="1:14" s="155" customFormat="1">
      <c r="A251" s="208" t="s">
        <v>1088</v>
      </c>
      <c r="B251" s="209">
        <v>1.1000000000000001</v>
      </c>
      <c r="C251" s="210" t="str">
        <f>IF('Server PICS'!I$149="Yes","Yes","No")</f>
        <v>No</v>
      </c>
      <c r="D251" s="140" t="s">
        <v>3</v>
      </c>
      <c r="E251" s="211" t="s">
        <v>482</v>
      </c>
      <c r="F251" s="140"/>
      <c r="G251" s="211" t="s">
        <v>1324</v>
      </c>
      <c r="H251" s="140"/>
      <c r="I251" s="211" t="s">
        <v>1324</v>
      </c>
      <c r="J251" s="140"/>
      <c r="K251" s="211"/>
      <c r="L251" s="212"/>
      <c r="M251" s="241" t="s">
        <v>1422</v>
      </c>
      <c r="N251" s="241" t="s">
        <v>1423</v>
      </c>
    </row>
    <row r="252" spans="1:14" s="155" customFormat="1">
      <c r="A252" s="208" t="s">
        <v>1089</v>
      </c>
      <c r="B252" s="209">
        <v>1.1000000000000001</v>
      </c>
      <c r="C252" s="210" t="str">
        <f>IF('Server PICS'!I$154="Yes","Yes","No")</f>
        <v>No</v>
      </c>
      <c r="D252" s="140" t="s">
        <v>71</v>
      </c>
      <c r="E252" s="211" t="s">
        <v>294</v>
      </c>
      <c r="F252" s="140"/>
      <c r="G252" s="211" t="s">
        <v>1324</v>
      </c>
      <c r="H252" s="140"/>
      <c r="I252" s="211" t="s">
        <v>1324</v>
      </c>
      <c r="J252" s="140"/>
      <c r="K252" s="211"/>
      <c r="L252" s="212"/>
      <c r="M252" s="241" t="s">
        <v>1424</v>
      </c>
      <c r="N252" s="241" t="s">
        <v>203</v>
      </c>
    </row>
    <row r="253" spans="1:14" s="155" customFormat="1">
      <c r="A253" s="208" t="s">
        <v>1090</v>
      </c>
      <c r="B253" s="209">
        <v>1.1000000000000001</v>
      </c>
      <c r="C253" s="210" t="str">
        <f>IF('Server PICS'!I$163="Yes","Yes","No")</f>
        <v>No</v>
      </c>
      <c r="D253" s="140" t="s">
        <v>71</v>
      </c>
      <c r="E253" s="211" t="s">
        <v>302</v>
      </c>
      <c r="F253" s="140"/>
      <c r="G253" s="211" t="s">
        <v>1324</v>
      </c>
      <c r="H253" s="140"/>
      <c r="I253" s="211" t="s">
        <v>1324</v>
      </c>
      <c r="J253" s="140"/>
      <c r="K253" s="211"/>
      <c r="L253" s="212"/>
      <c r="M253" s="241" t="s">
        <v>1424</v>
      </c>
      <c r="N253" s="241" t="s">
        <v>1419</v>
      </c>
    </row>
    <row r="254" spans="1:14" s="155" customFormat="1">
      <c r="A254" s="208" t="s">
        <v>1091</v>
      </c>
      <c r="B254" s="209">
        <v>1.1000000000000001</v>
      </c>
      <c r="C254" s="210" t="str">
        <f>IF('Server PICS'!I$164="Yes","Yes","No")</f>
        <v>No</v>
      </c>
      <c r="D254" s="140" t="s">
        <v>71</v>
      </c>
      <c r="E254" s="211" t="s">
        <v>303</v>
      </c>
      <c r="F254" s="140"/>
      <c r="G254" s="211" t="s">
        <v>1324</v>
      </c>
      <c r="H254" s="140"/>
      <c r="I254" s="211" t="s">
        <v>1324</v>
      </c>
      <c r="J254" s="140"/>
      <c r="K254" s="211"/>
      <c r="L254" s="212"/>
      <c r="M254" s="241" t="s">
        <v>1424</v>
      </c>
      <c r="N254" s="241" t="s">
        <v>1419</v>
      </c>
    </row>
    <row r="255" spans="1:14" s="155" customFormat="1">
      <c r="A255" s="208" t="s">
        <v>1092</v>
      </c>
      <c r="B255" s="209">
        <v>1.1000000000000001</v>
      </c>
      <c r="C255" s="210" t="str">
        <f>IF('Server PICS'!I$159="Yes","Yes","No")</f>
        <v>No</v>
      </c>
      <c r="D255" s="140" t="s">
        <v>71</v>
      </c>
      <c r="E255" s="211" t="s">
        <v>300</v>
      </c>
      <c r="F255" s="140"/>
      <c r="G255" s="211" t="s">
        <v>1324</v>
      </c>
      <c r="H255" s="140"/>
      <c r="I255" s="211" t="s">
        <v>1324</v>
      </c>
      <c r="J255" s="140"/>
      <c r="K255" s="211"/>
      <c r="L255" s="212"/>
      <c r="M255" s="241" t="s">
        <v>1424</v>
      </c>
      <c r="N255" s="241" t="s">
        <v>1419</v>
      </c>
    </row>
    <row r="256" spans="1:14" s="155" customFormat="1">
      <c r="A256" s="208" t="s">
        <v>1093</v>
      </c>
      <c r="B256" s="209">
        <v>1.1000000000000001</v>
      </c>
      <c r="C256" s="210" t="str">
        <f>IF('Server PICS'!I$160="Yes","Yes","No")</f>
        <v>No</v>
      </c>
      <c r="D256" s="140" t="s">
        <v>71</v>
      </c>
      <c r="E256" s="211" t="s">
        <v>676</v>
      </c>
      <c r="F256" s="140"/>
      <c r="G256" s="211" t="s">
        <v>1324</v>
      </c>
      <c r="H256" s="140"/>
      <c r="I256" s="211" t="s">
        <v>1324</v>
      </c>
      <c r="J256" s="140"/>
      <c r="K256" s="211"/>
      <c r="L256" s="212"/>
      <c r="M256" s="241" t="s">
        <v>1424</v>
      </c>
      <c r="N256" s="241" t="s">
        <v>1419</v>
      </c>
    </row>
    <row r="257" spans="1:14" s="155" customFormat="1">
      <c r="A257" s="208" t="s">
        <v>1094</v>
      </c>
      <c r="B257" s="209" t="s">
        <v>1290</v>
      </c>
      <c r="C257" s="210" t="str">
        <f>IF(AND('Server PICS'!I$160="Yes",'Server PICS'!I$154="Yes"),"Yes","No")</f>
        <v>No</v>
      </c>
      <c r="D257" s="140" t="s">
        <v>71</v>
      </c>
      <c r="E257" s="211" t="s">
        <v>676</v>
      </c>
      <c r="F257" s="140" t="s">
        <v>1124</v>
      </c>
      <c r="G257" s="211" t="s">
        <v>294</v>
      </c>
      <c r="H257" s="140"/>
      <c r="I257" s="211" t="s">
        <v>1324</v>
      </c>
      <c r="J257" s="140"/>
      <c r="K257" s="211"/>
      <c r="L257" s="212"/>
      <c r="M257" s="241" t="s">
        <v>1424</v>
      </c>
      <c r="N257" s="241" t="s">
        <v>1419</v>
      </c>
    </row>
    <row r="258" spans="1:14" s="155" customFormat="1">
      <c r="A258" s="208" t="s">
        <v>1095</v>
      </c>
      <c r="B258" s="209">
        <v>1.1000000000000001</v>
      </c>
      <c r="C258" s="210" t="str">
        <f>IF(AND('Server PICS'!I$165="Yes",'Server PICS'!I$154="Yes"),"Yes","No")</f>
        <v>No</v>
      </c>
      <c r="D258" s="140" t="s">
        <v>71</v>
      </c>
      <c r="E258" s="211" t="s">
        <v>304</v>
      </c>
      <c r="F258" s="140" t="s">
        <v>1124</v>
      </c>
      <c r="G258" s="211" t="s">
        <v>294</v>
      </c>
      <c r="H258" s="140"/>
      <c r="I258" s="211" t="s">
        <v>1324</v>
      </c>
      <c r="J258" s="140"/>
      <c r="K258" s="211"/>
      <c r="L258" s="212"/>
      <c r="M258" s="241" t="s">
        <v>1424</v>
      </c>
      <c r="N258" s="241" t="s">
        <v>1419</v>
      </c>
    </row>
    <row r="259" spans="1:14" s="155" customFormat="1">
      <c r="A259" s="208" t="s">
        <v>1096</v>
      </c>
      <c r="B259" s="209" t="s">
        <v>1290</v>
      </c>
      <c r="C259" s="210" t="str">
        <f>IF('Server PICS'!I$157="Yes","Yes","No")</f>
        <v>No</v>
      </c>
      <c r="D259" s="140" t="s">
        <v>71</v>
      </c>
      <c r="E259" s="211" t="s">
        <v>298</v>
      </c>
      <c r="F259" s="140"/>
      <c r="G259" s="211" t="s">
        <v>1324</v>
      </c>
      <c r="H259" s="140"/>
      <c r="I259" s="211" t="s">
        <v>1324</v>
      </c>
      <c r="J259" s="140"/>
      <c r="K259" s="211"/>
      <c r="L259" s="212"/>
      <c r="M259" s="241" t="s">
        <v>1424</v>
      </c>
      <c r="N259" s="241" t="s">
        <v>1419</v>
      </c>
    </row>
    <row r="260" spans="1:14" s="155" customFormat="1">
      <c r="A260" s="208" t="s">
        <v>1097</v>
      </c>
      <c r="B260" s="209">
        <v>1.1000000000000001</v>
      </c>
      <c r="C260" s="210" t="str">
        <f>IF('Server PICS'!I$157="Yes","Yes","No")</f>
        <v>No</v>
      </c>
      <c r="D260" s="140" t="s">
        <v>71</v>
      </c>
      <c r="E260" s="211" t="s">
        <v>298</v>
      </c>
      <c r="F260" s="140"/>
      <c r="G260" s="211" t="s">
        <v>1324</v>
      </c>
      <c r="H260" s="140"/>
      <c r="I260" s="211" t="s">
        <v>1324</v>
      </c>
      <c r="J260" s="140"/>
      <c r="K260" s="211"/>
      <c r="L260" s="212"/>
      <c r="M260" s="241" t="s">
        <v>1424</v>
      </c>
      <c r="N260" s="241" t="s">
        <v>1419</v>
      </c>
    </row>
    <row r="261" spans="1:14" s="155" customFormat="1">
      <c r="A261" s="208" t="s">
        <v>1774</v>
      </c>
      <c r="B261" s="209" t="s">
        <v>1762</v>
      </c>
      <c r="C261" s="210" t="str">
        <f>IF('Server PICS'!I$154="Yes","Yes","No")</f>
        <v>No</v>
      </c>
      <c r="D261" s="140" t="s">
        <v>71</v>
      </c>
      <c r="E261" s="211" t="s">
        <v>294</v>
      </c>
      <c r="F261" s="140"/>
      <c r="G261" s="211" t="s">
        <v>1324</v>
      </c>
      <c r="H261" s="140"/>
      <c r="I261" s="211" t="s">
        <v>1324</v>
      </c>
      <c r="J261" s="140"/>
      <c r="K261" s="211"/>
      <c r="L261" s="212"/>
      <c r="M261" s="241" t="s">
        <v>1425</v>
      </c>
      <c r="N261" s="241" t="s">
        <v>203</v>
      </c>
    </row>
    <row r="262" spans="1:14" s="155" customFormat="1">
      <c r="A262" s="208" t="s">
        <v>1775</v>
      </c>
      <c r="B262" s="209" t="s">
        <v>1762</v>
      </c>
      <c r="C262" s="210" t="str">
        <f>IF('Server PICS'!I$154="Yes","Yes","No")</f>
        <v>No</v>
      </c>
      <c r="D262" s="140" t="s">
        <v>71</v>
      </c>
      <c r="E262" s="211" t="s">
        <v>294</v>
      </c>
      <c r="F262" s="140"/>
      <c r="G262" s="211" t="s">
        <v>1324</v>
      </c>
      <c r="H262" s="140"/>
      <c r="I262" s="211" t="s">
        <v>1324</v>
      </c>
      <c r="J262" s="140"/>
      <c r="K262" s="211"/>
      <c r="L262" s="212"/>
      <c r="M262" s="241" t="s">
        <v>1425</v>
      </c>
      <c r="N262" s="241" t="s">
        <v>203</v>
      </c>
    </row>
    <row r="263" spans="1:14" s="155" customFormat="1">
      <c r="A263" s="208" t="s">
        <v>1098</v>
      </c>
      <c r="B263" s="209">
        <v>1.1000000000000001</v>
      </c>
      <c r="C263" s="210" t="str">
        <f>IF('Server PICS'!I$166="Yes","Yes","No")</f>
        <v>No</v>
      </c>
      <c r="D263" s="140" t="s">
        <v>3</v>
      </c>
      <c r="E263" s="211" t="s">
        <v>677</v>
      </c>
      <c r="F263" s="140"/>
      <c r="G263" s="211" t="s">
        <v>1324</v>
      </c>
      <c r="H263" s="140"/>
      <c r="I263" s="211" t="s">
        <v>1324</v>
      </c>
      <c r="J263" s="140"/>
      <c r="K263" s="211"/>
      <c r="L263" s="212"/>
      <c r="M263" s="241" t="s">
        <v>1425</v>
      </c>
      <c r="N263" s="241" t="s">
        <v>203</v>
      </c>
    </row>
    <row r="264" spans="1:14" s="155" customFormat="1">
      <c r="A264" s="208" t="s">
        <v>1099</v>
      </c>
      <c r="B264" s="209">
        <v>1.1000000000000001</v>
      </c>
      <c r="C264" s="210" t="str">
        <f>IF('Server PICS'!I$166="Yes","Yes","No")</f>
        <v>No</v>
      </c>
      <c r="D264" s="140" t="s">
        <v>3</v>
      </c>
      <c r="E264" s="211" t="s">
        <v>677</v>
      </c>
      <c r="F264" s="140"/>
      <c r="G264" s="211" t="s">
        <v>1324</v>
      </c>
      <c r="H264" s="140"/>
      <c r="I264" s="211" t="s">
        <v>1324</v>
      </c>
      <c r="J264" s="140"/>
      <c r="K264" s="211"/>
      <c r="L264" s="212"/>
      <c r="M264" s="241" t="s">
        <v>1425</v>
      </c>
      <c r="N264" s="241" t="s">
        <v>203</v>
      </c>
    </row>
    <row r="265" spans="1:14" s="155" customFormat="1">
      <c r="A265" s="208" t="s">
        <v>1100</v>
      </c>
      <c r="B265" s="209" t="s">
        <v>2003</v>
      </c>
      <c r="C265" s="210" t="str">
        <f>IF('Server PICS'!I$166="Yes","Yes","No")</f>
        <v>No</v>
      </c>
      <c r="D265" s="140" t="s">
        <v>3</v>
      </c>
      <c r="E265" s="211" t="s">
        <v>677</v>
      </c>
      <c r="F265" s="140"/>
      <c r="G265" s="211" t="s">
        <v>1324</v>
      </c>
      <c r="H265" s="140"/>
      <c r="I265" s="211" t="s">
        <v>1324</v>
      </c>
      <c r="J265" s="140"/>
      <c r="K265" s="211"/>
      <c r="L265" s="212"/>
      <c r="M265" s="241" t="s">
        <v>1425</v>
      </c>
      <c r="N265" s="241" t="s">
        <v>203</v>
      </c>
    </row>
    <row r="266" spans="1:14" s="155" customFormat="1">
      <c r="A266" s="208" t="s">
        <v>1101</v>
      </c>
      <c r="B266" s="209">
        <v>1.1000000000000001</v>
      </c>
      <c r="C266" s="210" t="str">
        <f>IF('Server PICS'!I$167="Yes","Yes","No")</f>
        <v>No</v>
      </c>
      <c r="D266" s="140" t="s">
        <v>71</v>
      </c>
      <c r="E266" s="211" t="s">
        <v>305</v>
      </c>
      <c r="F266" s="140"/>
      <c r="G266" s="211" t="s">
        <v>1324</v>
      </c>
      <c r="H266" s="140"/>
      <c r="I266" s="211" t="s">
        <v>1324</v>
      </c>
      <c r="J266" s="140"/>
      <c r="K266" s="211"/>
      <c r="L266" s="212"/>
      <c r="M266" s="241" t="s">
        <v>1425</v>
      </c>
      <c r="N266" s="241" t="s">
        <v>2069</v>
      </c>
    </row>
    <row r="267" spans="1:14" s="155" customFormat="1">
      <c r="A267" s="208" t="s">
        <v>1102</v>
      </c>
      <c r="B267" s="209">
        <v>1.1000000000000001</v>
      </c>
      <c r="C267" s="210" t="str">
        <f>IF('Server PICS'!I$168="Yes","Yes","No")</f>
        <v>No</v>
      </c>
      <c r="D267" s="140" t="s">
        <v>71</v>
      </c>
      <c r="E267" s="211" t="s">
        <v>306</v>
      </c>
      <c r="F267" s="140"/>
      <c r="G267" s="211" t="s">
        <v>1324</v>
      </c>
      <c r="H267" s="140"/>
      <c r="I267" s="211" t="s">
        <v>1324</v>
      </c>
      <c r="J267" s="140"/>
      <c r="K267" s="211"/>
      <c r="L267" s="212"/>
      <c r="M267" s="241" t="s">
        <v>1425</v>
      </c>
      <c r="N267" s="241" t="s">
        <v>2069</v>
      </c>
    </row>
    <row r="268" spans="1:14" s="155" customFormat="1">
      <c r="A268" s="208" t="s">
        <v>2058</v>
      </c>
      <c r="B268" s="209" t="s">
        <v>1971</v>
      </c>
      <c r="C268" s="210" t="str">
        <f>IF('Server PICS'!I$169="Yes","Yes","No")</f>
        <v>No</v>
      </c>
      <c r="D268" s="140" t="s">
        <v>3</v>
      </c>
      <c r="E268" s="211" t="s">
        <v>307</v>
      </c>
      <c r="F268" s="140"/>
      <c r="G268" s="211"/>
      <c r="H268" s="140"/>
      <c r="I268" s="211"/>
      <c r="J268" s="140"/>
      <c r="K268" s="211"/>
      <c r="L268" s="212"/>
      <c r="M268" s="241" t="s">
        <v>1425</v>
      </c>
      <c r="N268" s="241" t="s">
        <v>2067</v>
      </c>
    </row>
    <row r="269" spans="1:14" s="155" customFormat="1">
      <c r="A269" s="208" t="s">
        <v>1103</v>
      </c>
      <c r="B269" s="209" t="s">
        <v>1597</v>
      </c>
      <c r="C269" s="210" t="str">
        <f>IF(AND('Server PICS'!I$179="Yes",'Server PICS'!I$180="Yes"),"Yes","No")</f>
        <v>No</v>
      </c>
      <c r="D269" s="140" t="s">
        <v>71</v>
      </c>
      <c r="E269" s="211" t="s">
        <v>451</v>
      </c>
      <c r="F269" s="140" t="s">
        <v>1124</v>
      </c>
      <c r="G269" s="211" t="s">
        <v>452</v>
      </c>
      <c r="H269" s="140"/>
      <c r="I269" s="211" t="s">
        <v>1324</v>
      </c>
      <c r="J269" s="140"/>
      <c r="K269" s="211"/>
      <c r="L269" s="212"/>
      <c r="M269" s="241" t="s">
        <v>1426</v>
      </c>
      <c r="N269" s="241" t="s">
        <v>1430</v>
      </c>
    </row>
    <row r="270" spans="1:14" s="155" customFormat="1">
      <c r="A270" s="208" t="s">
        <v>1104</v>
      </c>
      <c r="B270" s="209" t="s">
        <v>1597</v>
      </c>
      <c r="C270" s="210" t="str">
        <f>IF(AND('Server PICS'!I$184="Yes",'Server PICS'!I$179="Yes"),"Yes","No")</f>
        <v>No</v>
      </c>
      <c r="D270" s="140" t="s">
        <v>71</v>
      </c>
      <c r="E270" s="211" t="s">
        <v>456</v>
      </c>
      <c r="F270" s="140" t="s">
        <v>1124</v>
      </c>
      <c r="G270" s="211" t="s">
        <v>451</v>
      </c>
      <c r="H270" s="140"/>
      <c r="I270" s="211" t="s">
        <v>1324</v>
      </c>
      <c r="J270" s="140"/>
      <c r="K270" s="211"/>
      <c r="L270" s="212"/>
      <c r="M270" s="241" t="s">
        <v>1426</v>
      </c>
      <c r="N270" s="241" t="s">
        <v>1430</v>
      </c>
    </row>
    <row r="271" spans="1:14" s="155" customFormat="1">
      <c r="A271" s="208" t="s">
        <v>1105</v>
      </c>
      <c r="B271" s="209" t="s">
        <v>1597</v>
      </c>
      <c r="C271" s="210" t="str">
        <f>IF(AND('Server PICS'!I$187="Yes",'Server PICS'!I$186="Yes"),"Yes","No")</f>
        <v>No</v>
      </c>
      <c r="D271" s="140" t="s">
        <v>71</v>
      </c>
      <c r="E271" s="211" t="s">
        <v>459</v>
      </c>
      <c r="F271" s="140" t="s">
        <v>1124</v>
      </c>
      <c r="G271" s="211" t="s">
        <v>458</v>
      </c>
      <c r="H271" s="140"/>
      <c r="I271" s="211" t="s">
        <v>1324</v>
      </c>
      <c r="J271" s="140"/>
      <c r="K271" s="211"/>
      <c r="L271" s="212"/>
      <c r="M271" s="241" t="s">
        <v>1426</v>
      </c>
      <c r="N271" s="241" t="s">
        <v>1430</v>
      </c>
    </row>
    <row r="272" spans="1:14" s="155" customFormat="1">
      <c r="A272" s="208" t="s">
        <v>1106</v>
      </c>
      <c r="B272" s="209" t="s">
        <v>1597</v>
      </c>
      <c r="C272" s="210" t="str">
        <f>IF(AND('Server PICS'!I$184="Yes",'Server PICS'!I$181="Yes"),"Yes","No")</f>
        <v>No</v>
      </c>
      <c r="D272" s="140" t="s">
        <v>71</v>
      </c>
      <c r="E272" s="211" t="s">
        <v>456</v>
      </c>
      <c r="F272" s="140" t="s">
        <v>1124</v>
      </c>
      <c r="G272" s="211" t="s">
        <v>453</v>
      </c>
      <c r="H272" s="140"/>
      <c r="I272" s="211" t="s">
        <v>1324</v>
      </c>
      <c r="J272" s="140"/>
      <c r="K272" s="211"/>
      <c r="L272" s="212"/>
      <c r="M272" s="241" t="s">
        <v>1426</v>
      </c>
      <c r="N272" s="241" t="s">
        <v>1427</v>
      </c>
    </row>
    <row r="273" spans="1:14" s="155" customFormat="1">
      <c r="A273" s="208" t="s">
        <v>1107</v>
      </c>
      <c r="B273" s="209" t="s">
        <v>1597</v>
      </c>
      <c r="C273" s="210" t="str">
        <f>IF(AND('Server PICS'!I$184="Yes",'Server PICS'!I$181="Yes"),"Yes","No")</f>
        <v>No</v>
      </c>
      <c r="D273" s="140" t="s">
        <v>71</v>
      </c>
      <c r="E273" s="211" t="s">
        <v>456</v>
      </c>
      <c r="F273" s="140" t="s">
        <v>1124</v>
      </c>
      <c r="G273" s="211" t="s">
        <v>453</v>
      </c>
      <c r="H273" s="140"/>
      <c r="I273" s="211" t="s">
        <v>1324</v>
      </c>
      <c r="J273" s="140"/>
      <c r="K273" s="211"/>
      <c r="L273" s="212"/>
      <c r="M273" s="241" t="s">
        <v>1426</v>
      </c>
      <c r="N273" s="241" t="s">
        <v>1427</v>
      </c>
    </row>
    <row r="274" spans="1:14" s="155" customFormat="1">
      <c r="A274" s="208" t="s">
        <v>1108</v>
      </c>
      <c r="B274" s="209" t="s">
        <v>1597</v>
      </c>
      <c r="C274" s="210" t="str">
        <f>IF(AND('Server PICS'!I$184="Yes",'Server PICS'!I$181="Yes"),"Yes","No")</f>
        <v>No</v>
      </c>
      <c r="D274" s="140" t="s">
        <v>71</v>
      </c>
      <c r="E274" s="211" t="s">
        <v>456</v>
      </c>
      <c r="F274" s="140" t="s">
        <v>1124</v>
      </c>
      <c r="G274" s="211" t="s">
        <v>453</v>
      </c>
      <c r="H274" s="140"/>
      <c r="I274" s="211" t="s">
        <v>1324</v>
      </c>
      <c r="J274" s="140"/>
      <c r="K274" s="211"/>
      <c r="L274" s="212"/>
      <c r="M274" s="241" t="s">
        <v>1426</v>
      </c>
      <c r="N274" s="241" t="s">
        <v>1427</v>
      </c>
    </row>
    <row r="275" spans="1:14" s="155" customFormat="1">
      <c r="A275" s="208" t="s">
        <v>1109</v>
      </c>
      <c r="B275" s="209" t="s">
        <v>1597</v>
      </c>
      <c r="C275" s="210" t="str">
        <f>IF(AND('Server PICS'!I$184="Yes",'Server PICS'!I$182="Yes"),"Yes","No")</f>
        <v>No</v>
      </c>
      <c r="D275" s="140" t="s">
        <v>71</v>
      </c>
      <c r="E275" s="211" t="s">
        <v>456</v>
      </c>
      <c r="F275" s="140" t="s">
        <v>1124</v>
      </c>
      <c r="G275" s="211" t="s">
        <v>454</v>
      </c>
      <c r="H275" s="140"/>
      <c r="I275" s="211" t="s">
        <v>1324</v>
      </c>
      <c r="J275" s="140"/>
      <c r="K275" s="211"/>
      <c r="L275" s="212"/>
      <c r="M275" s="241" t="s">
        <v>1426</v>
      </c>
      <c r="N275" s="241" t="s">
        <v>1428</v>
      </c>
    </row>
    <row r="276" spans="1:14" s="155" customFormat="1">
      <c r="A276" s="208" t="s">
        <v>1110</v>
      </c>
      <c r="B276" s="209" t="s">
        <v>1597</v>
      </c>
      <c r="C276" s="210" t="str">
        <f>IF(AND('Server PICS'!I$184="Yes",'Server PICS'!I$182="Yes"),"Yes","No")</f>
        <v>No</v>
      </c>
      <c r="D276" s="140" t="s">
        <v>71</v>
      </c>
      <c r="E276" s="211" t="s">
        <v>456</v>
      </c>
      <c r="F276" s="140" t="s">
        <v>1124</v>
      </c>
      <c r="G276" s="211" t="s">
        <v>454</v>
      </c>
      <c r="H276" s="140"/>
      <c r="I276" s="211" t="s">
        <v>1324</v>
      </c>
      <c r="J276" s="140"/>
      <c r="K276" s="211"/>
      <c r="L276" s="212"/>
      <c r="M276" s="241" t="s">
        <v>1426</v>
      </c>
      <c r="N276" s="241" t="s">
        <v>1428</v>
      </c>
    </row>
    <row r="277" spans="1:14" s="155" customFormat="1">
      <c r="A277" s="208" t="s">
        <v>1111</v>
      </c>
      <c r="B277" s="209" t="s">
        <v>1597</v>
      </c>
      <c r="C277" s="210" t="str">
        <f>IF(AND('Server PICS'!I$184="Yes",'Server PICS'!I$182="Yes"),"Yes","No")</f>
        <v>No</v>
      </c>
      <c r="D277" s="140" t="s">
        <v>71</v>
      </c>
      <c r="E277" s="211" t="s">
        <v>456</v>
      </c>
      <c r="F277" s="140" t="s">
        <v>1124</v>
      </c>
      <c r="G277" s="211" t="s">
        <v>454</v>
      </c>
      <c r="H277" s="140"/>
      <c r="I277" s="211" t="s">
        <v>1324</v>
      </c>
      <c r="J277" s="140"/>
      <c r="K277" s="211"/>
      <c r="L277" s="212"/>
      <c r="M277" s="241" t="s">
        <v>1426</v>
      </c>
      <c r="N277" s="241" t="s">
        <v>1428</v>
      </c>
    </row>
    <row r="278" spans="1:14" s="155" customFormat="1">
      <c r="A278" s="208" t="s">
        <v>1112</v>
      </c>
      <c r="B278" s="209" t="s">
        <v>1597</v>
      </c>
      <c r="C278" s="210" t="str">
        <f>IF('Server PICS'!I$183="Yes","Yes","No")</f>
        <v>No</v>
      </c>
      <c r="D278" s="140" t="s">
        <v>71</v>
      </c>
      <c r="E278" s="211" t="s">
        <v>455</v>
      </c>
      <c r="F278" s="140"/>
      <c r="G278" s="211" t="s">
        <v>1324</v>
      </c>
      <c r="H278" s="140"/>
      <c r="I278" s="211" t="s">
        <v>1324</v>
      </c>
      <c r="J278" s="140"/>
      <c r="K278" s="211"/>
      <c r="L278" s="212"/>
      <c r="M278" s="241" t="s">
        <v>1426</v>
      </c>
      <c r="N278" s="241" t="s">
        <v>1429</v>
      </c>
    </row>
    <row r="279" spans="1:14" s="155" customFormat="1">
      <c r="A279" s="208" t="s">
        <v>1114</v>
      </c>
      <c r="B279" s="209" t="s">
        <v>1597</v>
      </c>
      <c r="C279" s="210" t="str">
        <f>IF(AND('Server PICS'!I$183="Yes",'Server PICS'!I$184="Yes"),"Yes","No")</f>
        <v>No</v>
      </c>
      <c r="D279" s="140" t="s">
        <v>71</v>
      </c>
      <c r="E279" s="211" t="s">
        <v>455</v>
      </c>
      <c r="F279" s="140" t="s">
        <v>1124</v>
      </c>
      <c r="G279" s="211" t="s">
        <v>456</v>
      </c>
      <c r="H279" s="140"/>
      <c r="I279" s="211" t="s">
        <v>1324</v>
      </c>
      <c r="J279" s="140"/>
      <c r="K279" s="211"/>
      <c r="L279" s="212"/>
      <c r="M279" s="241" t="s">
        <v>1426</v>
      </c>
      <c r="N279" s="241" t="s">
        <v>1429</v>
      </c>
    </row>
    <row r="280" spans="1:14" s="155" customFormat="1">
      <c r="A280" s="208" t="s">
        <v>1115</v>
      </c>
      <c r="B280" s="209" t="s">
        <v>1597</v>
      </c>
      <c r="C280" s="210" t="str">
        <f>IF(AND('Server PICS'!I$183="Yes",'Server PICS'!I$184="Yes"),"Yes","No")</f>
        <v>No</v>
      </c>
      <c r="D280" s="140" t="s">
        <v>71</v>
      </c>
      <c r="E280" s="211" t="s">
        <v>455</v>
      </c>
      <c r="F280" s="140" t="s">
        <v>1124</v>
      </c>
      <c r="G280" s="211" t="s">
        <v>456</v>
      </c>
      <c r="H280" s="140"/>
      <c r="I280" s="211" t="s">
        <v>1324</v>
      </c>
      <c r="J280" s="140"/>
      <c r="K280" s="211"/>
      <c r="L280" s="212"/>
      <c r="M280" s="241" t="s">
        <v>1426</v>
      </c>
      <c r="N280" s="241" t="s">
        <v>1429</v>
      </c>
    </row>
    <row r="281" spans="1:14" s="155" customFormat="1">
      <c r="A281" s="243" t="s">
        <v>1451</v>
      </c>
      <c r="B281" s="209" t="s">
        <v>1597</v>
      </c>
      <c r="C281" s="210" t="str">
        <f>IF(AND('Server PICS'!I$183="Yes",'Server PICS'!I$184="Yes"),"Yes","No")</f>
        <v>No</v>
      </c>
      <c r="D281" s="140" t="s">
        <v>71</v>
      </c>
      <c r="E281" s="211" t="s">
        <v>455</v>
      </c>
      <c r="F281" s="140" t="s">
        <v>1124</v>
      </c>
      <c r="G281" s="211" t="s">
        <v>456</v>
      </c>
      <c r="H281" s="140"/>
      <c r="I281" s="211" t="s">
        <v>1324</v>
      </c>
      <c r="J281" s="140"/>
      <c r="K281" s="211"/>
      <c r="L281" s="212"/>
      <c r="M281" s="241" t="s">
        <v>1426</v>
      </c>
      <c r="N281" s="241" t="s">
        <v>1429</v>
      </c>
    </row>
    <row r="282" spans="1:14" s="155" customFormat="1">
      <c r="A282" s="208" t="s">
        <v>1116</v>
      </c>
      <c r="B282" s="209">
        <v>1.1000000000000001</v>
      </c>
      <c r="C282" s="210" t="str">
        <f>IF(AND('Server PICS'!I$210="Yes",'Server PICS'!I$209="Yes"),"Yes","No")</f>
        <v>No</v>
      </c>
      <c r="D282" s="140" t="s">
        <v>71</v>
      </c>
      <c r="E282" s="211" t="s">
        <v>462</v>
      </c>
      <c r="F282" s="140" t="s">
        <v>1124</v>
      </c>
      <c r="G282" s="211" t="s">
        <v>461</v>
      </c>
      <c r="H282" s="140"/>
      <c r="I282" s="211" t="s">
        <v>1324</v>
      </c>
      <c r="J282" s="140"/>
      <c r="K282" s="211"/>
      <c r="L282" s="212"/>
      <c r="M282" s="241" t="s">
        <v>1426</v>
      </c>
      <c r="N282" s="241" t="s">
        <v>1431</v>
      </c>
    </row>
    <row r="283" spans="1:14" s="155" customFormat="1">
      <c r="A283" s="208" t="s">
        <v>1117</v>
      </c>
      <c r="B283" s="209" t="s">
        <v>1597</v>
      </c>
      <c r="C283" s="210" t="str">
        <f>IF('Server PICS'!I$214="Yes","Yes","No")</f>
        <v>No</v>
      </c>
      <c r="D283" s="140" t="s">
        <v>71</v>
      </c>
      <c r="E283" s="211" t="s">
        <v>466</v>
      </c>
      <c r="F283" s="140"/>
      <c r="G283" s="211" t="s">
        <v>1324</v>
      </c>
      <c r="H283" s="140"/>
      <c r="I283" s="211" t="s">
        <v>1324</v>
      </c>
      <c r="J283" s="140"/>
      <c r="K283" s="211"/>
      <c r="L283" s="212"/>
      <c r="M283" s="241" t="s">
        <v>1426</v>
      </c>
      <c r="N283" s="241" t="s">
        <v>1431</v>
      </c>
    </row>
    <row r="284" spans="1:14" s="155" customFormat="1">
      <c r="A284" s="208" t="s">
        <v>1118</v>
      </c>
      <c r="B284" s="209" t="s">
        <v>1597</v>
      </c>
      <c r="C284" s="210" t="str">
        <f>IF(AND('Server PICS'!I$217="Yes",'Server PICS'!I$216="Yes"),"Yes","No")</f>
        <v>No</v>
      </c>
      <c r="D284" s="140" t="s">
        <v>71</v>
      </c>
      <c r="E284" s="211" t="s">
        <v>469</v>
      </c>
      <c r="F284" s="140" t="s">
        <v>1124</v>
      </c>
      <c r="G284" s="211" t="s">
        <v>468</v>
      </c>
      <c r="H284" s="140"/>
      <c r="I284" s="211" t="s">
        <v>1324</v>
      </c>
      <c r="J284" s="140"/>
      <c r="K284" s="211"/>
      <c r="L284" s="212"/>
      <c r="M284" s="241" t="s">
        <v>1426</v>
      </c>
      <c r="N284" s="241" t="s">
        <v>1431</v>
      </c>
    </row>
    <row r="285" spans="1:14" s="155" customFormat="1">
      <c r="A285" s="208" t="s">
        <v>1119</v>
      </c>
      <c r="B285" s="209">
        <v>1.1000000000000001</v>
      </c>
      <c r="C285" s="210" t="str">
        <f>IF('Server PICS'!I$211="Yes","Yes","No")</f>
        <v>No</v>
      </c>
      <c r="D285" s="140" t="s">
        <v>71</v>
      </c>
      <c r="E285" s="211" t="s">
        <v>463</v>
      </c>
      <c r="F285" s="140"/>
      <c r="G285" s="211" t="s">
        <v>1324</v>
      </c>
      <c r="H285" s="140"/>
      <c r="I285" s="211" t="s">
        <v>1324</v>
      </c>
      <c r="J285" s="140"/>
      <c r="K285" s="211"/>
      <c r="L285" s="212"/>
      <c r="M285" s="241" t="s">
        <v>1426</v>
      </c>
      <c r="N285" s="241" t="s">
        <v>1432</v>
      </c>
    </row>
    <row r="286" spans="1:14" s="155" customFormat="1">
      <c r="A286" s="208" t="s">
        <v>1600</v>
      </c>
      <c r="B286" s="209" t="s">
        <v>1597</v>
      </c>
      <c r="C286" s="210" t="str">
        <f>IF('Server PICS'!I$211="Yes","Yes","No")</f>
        <v>No</v>
      </c>
      <c r="D286" s="140" t="s">
        <v>71</v>
      </c>
      <c r="E286" s="211" t="s">
        <v>463</v>
      </c>
      <c r="F286" s="140"/>
      <c r="G286" s="211" t="s">
        <v>1324</v>
      </c>
      <c r="H286" s="140"/>
      <c r="I286" s="211" t="s">
        <v>1324</v>
      </c>
      <c r="J286" s="140"/>
      <c r="K286" s="211"/>
      <c r="L286" s="212"/>
      <c r="M286" s="241" t="s">
        <v>1426</v>
      </c>
      <c r="N286" s="241" t="s">
        <v>1432</v>
      </c>
    </row>
    <row r="287" spans="1:14" s="155" customFormat="1">
      <c r="A287" s="208" t="s">
        <v>1601</v>
      </c>
      <c r="B287" s="209" t="s">
        <v>1597</v>
      </c>
      <c r="C287" s="210" t="str">
        <f>IF('Server PICS'!I$211="Yes","Yes","No")</f>
        <v>No</v>
      </c>
      <c r="D287" s="140" t="s">
        <v>71</v>
      </c>
      <c r="E287" s="211" t="s">
        <v>463</v>
      </c>
      <c r="F287" s="140"/>
      <c r="G287" s="211" t="s">
        <v>1324</v>
      </c>
      <c r="H287" s="140"/>
      <c r="I287" s="211" t="s">
        <v>1324</v>
      </c>
      <c r="J287" s="140"/>
      <c r="K287" s="211"/>
      <c r="L287" s="212"/>
      <c r="M287" s="241" t="s">
        <v>1426</v>
      </c>
      <c r="N287" s="241" t="s">
        <v>1432</v>
      </c>
    </row>
    <row r="288" spans="1:14" s="155" customFormat="1">
      <c r="A288" s="208" t="s">
        <v>1602</v>
      </c>
      <c r="B288" s="209" t="s">
        <v>1597</v>
      </c>
      <c r="C288" s="210" t="str">
        <f>IF('Server PICS'!I$211="Yes","Yes","No")</f>
        <v>No</v>
      </c>
      <c r="D288" s="140" t="s">
        <v>71</v>
      </c>
      <c r="E288" s="211" t="s">
        <v>463</v>
      </c>
      <c r="F288" s="140"/>
      <c r="G288" s="211" t="s">
        <v>1324</v>
      </c>
      <c r="H288" s="140"/>
      <c r="I288" s="211" t="s">
        <v>1324</v>
      </c>
      <c r="J288" s="140"/>
      <c r="K288" s="211"/>
      <c r="L288" s="212"/>
      <c r="M288" s="241" t="s">
        <v>1426</v>
      </c>
      <c r="N288" s="241" t="s">
        <v>1432</v>
      </c>
    </row>
    <row r="289" spans="1:14" s="155" customFormat="1">
      <c r="A289" s="208" t="s">
        <v>1120</v>
      </c>
      <c r="B289" s="209" t="s">
        <v>1113</v>
      </c>
      <c r="C289" s="210" t="str">
        <f>IF('Server PICS'!I$213="Yes","Yes","No")</f>
        <v>No</v>
      </c>
      <c r="D289" s="140" t="s">
        <v>71</v>
      </c>
      <c r="E289" s="211" t="s">
        <v>465</v>
      </c>
      <c r="F289" s="140"/>
      <c r="G289" s="211" t="s">
        <v>1324</v>
      </c>
      <c r="H289" s="140"/>
      <c r="I289" s="211" t="s">
        <v>1324</v>
      </c>
      <c r="J289" s="140"/>
      <c r="K289" s="211"/>
      <c r="L289" s="212"/>
      <c r="M289" s="241" t="s">
        <v>1426</v>
      </c>
      <c r="N289" s="241" t="s">
        <v>1433</v>
      </c>
    </row>
    <row r="290" spans="1:14" s="155" customFormat="1">
      <c r="A290" s="208" t="s">
        <v>1121</v>
      </c>
      <c r="B290" s="209" t="s">
        <v>1113</v>
      </c>
      <c r="C290" s="210" t="str">
        <f>IF('Server PICS'!I$213="Yes","Yes","No")</f>
        <v>No</v>
      </c>
      <c r="D290" s="140" t="s">
        <v>71</v>
      </c>
      <c r="E290" s="211" t="s">
        <v>465</v>
      </c>
      <c r="F290" s="140"/>
      <c r="G290" s="211" t="s">
        <v>1324</v>
      </c>
      <c r="H290" s="140"/>
      <c r="I290" s="211" t="s">
        <v>1324</v>
      </c>
      <c r="J290" s="140"/>
      <c r="K290" s="211"/>
      <c r="L290" s="212"/>
      <c r="M290" s="241" t="s">
        <v>1426</v>
      </c>
      <c r="N290" s="241" t="s">
        <v>1433</v>
      </c>
    </row>
    <row r="291" spans="1:14" s="155" customFormat="1">
      <c r="A291" s="208" t="s">
        <v>1122</v>
      </c>
      <c r="B291" s="209" t="s">
        <v>1113</v>
      </c>
      <c r="C291" s="210" t="str">
        <f>IF('Server PICS'!I$213="Yes","Yes","No")</f>
        <v>No</v>
      </c>
      <c r="D291" s="140" t="s">
        <v>71</v>
      </c>
      <c r="E291" s="211" t="s">
        <v>465</v>
      </c>
      <c r="F291" s="140"/>
      <c r="G291" s="211" t="s">
        <v>1324</v>
      </c>
      <c r="H291" s="140"/>
      <c r="I291" s="211" t="s">
        <v>1324</v>
      </c>
      <c r="J291" s="140"/>
      <c r="K291" s="211"/>
      <c r="L291" s="212"/>
      <c r="M291" s="241" t="s">
        <v>1426</v>
      </c>
      <c r="N291" s="241" t="s">
        <v>1433</v>
      </c>
    </row>
    <row r="292" spans="1:14" s="155" customFormat="1">
      <c r="A292" s="243" t="s">
        <v>1450</v>
      </c>
      <c r="B292" s="209" t="s">
        <v>1113</v>
      </c>
      <c r="C292" s="210" t="str">
        <f>IF('Server PICS'!I$213="Yes","Yes","No")</f>
        <v>No</v>
      </c>
      <c r="D292" s="140" t="s">
        <v>71</v>
      </c>
      <c r="E292" s="211" t="s">
        <v>465</v>
      </c>
      <c r="F292" s="140"/>
      <c r="G292" s="211" t="s">
        <v>1324</v>
      </c>
      <c r="H292" s="140"/>
      <c r="I292" s="211" t="s">
        <v>1324</v>
      </c>
      <c r="J292" s="140"/>
      <c r="K292" s="211"/>
      <c r="L292" s="212"/>
      <c r="M292" s="241" t="s">
        <v>1426</v>
      </c>
      <c r="N292" s="241" t="s">
        <v>1433</v>
      </c>
    </row>
    <row r="293" spans="1:14" s="172" customFormat="1">
      <c r="A293" s="244" t="s">
        <v>2075</v>
      </c>
      <c r="B293" s="214" t="s">
        <v>1607</v>
      </c>
      <c r="C293" s="245" t="str">
        <f>IF('Server PICS'!I$239="Yes","Yes","No")</f>
        <v>No</v>
      </c>
      <c r="D293" s="215" t="s">
        <v>3</v>
      </c>
      <c r="E293" s="171" t="s">
        <v>1840</v>
      </c>
      <c r="F293" s="215"/>
      <c r="G293" s="246"/>
      <c r="H293" s="215"/>
      <c r="I293" s="246"/>
      <c r="J293" s="215"/>
      <c r="K293" s="246"/>
      <c r="L293" s="247"/>
      <c r="M293" s="248" t="s">
        <v>1628</v>
      </c>
      <c r="N293" s="248" t="s">
        <v>1928</v>
      </c>
    </row>
    <row r="294" spans="1:14" s="172" customFormat="1">
      <c r="A294" s="244" t="s">
        <v>2076</v>
      </c>
      <c r="B294" s="214" t="s">
        <v>1607</v>
      </c>
      <c r="C294" s="245" t="str">
        <f>IF('Server PICS'!I$239="Yes","Yes","No")</f>
        <v>No</v>
      </c>
      <c r="D294" s="215" t="s">
        <v>3</v>
      </c>
      <c r="E294" s="171" t="s">
        <v>1840</v>
      </c>
      <c r="F294" s="215"/>
      <c r="G294" s="246"/>
      <c r="H294" s="215"/>
      <c r="I294" s="246"/>
      <c r="J294" s="215"/>
      <c r="K294" s="246"/>
      <c r="L294" s="247"/>
      <c r="M294" s="248" t="s">
        <v>1628</v>
      </c>
      <c r="N294" s="248" t="s">
        <v>1928</v>
      </c>
    </row>
    <row r="295" spans="1:14" s="155" customFormat="1">
      <c r="A295" s="243" t="s">
        <v>1610</v>
      </c>
      <c r="B295" s="209" t="s">
        <v>1607</v>
      </c>
      <c r="C295" s="245" t="str">
        <f>IF('Server PICS'!I$242="Yes","Yes","No")</f>
        <v>No</v>
      </c>
      <c r="D295" s="140" t="s">
        <v>3</v>
      </c>
      <c r="E295" s="171" t="s">
        <v>1916</v>
      </c>
      <c r="F295" s="140"/>
      <c r="G295" s="211" t="s">
        <v>1324</v>
      </c>
      <c r="H295" s="140"/>
      <c r="I295" s="211" t="s">
        <v>1324</v>
      </c>
      <c r="J295" s="140"/>
      <c r="K295" s="211"/>
      <c r="L295" s="212"/>
      <c r="M295" s="241" t="s">
        <v>1628</v>
      </c>
      <c r="N295" s="248" t="s">
        <v>1899</v>
      </c>
    </row>
    <row r="296" spans="1:14" s="155" customFormat="1">
      <c r="A296" s="243" t="s">
        <v>1608</v>
      </c>
      <c r="B296" s="209" t="s">
        <v>1607</v>
      </c>
      <c r="C296" s="245" t="str">
        <f>IF('Server PICS'!I$241="Yes","Yes","No")</f>
        <v>No</v>
      </c>
      <c r="D296" s="140" t="s">
        <v>3</v>
      </c>
      <c r="E296" s="171" t="s">
        <v>1925</v>
      </c>
      <c r="F296" s="140"/>
      <c r="G296" s="211" t="s">
        <v>1324</v>
      </c>
      <c r="H296" s="140"/>
      <c r="I296" s="211" t="s">
        <v>1324</v>
      </c>
      <c r="J296" s="140"/>
      <c r="K296" s="211"/>
      <c r="L296" s="212"/>
      <c r="M296" s="241" t="s">
        <v>1628</v>
      </c>
      <c r="N296" s="248" t="s">
        <v>1924</v>
      </c>
    </row>
    <row r="297" spans="1:14" s="155" customFormat="1">
      <c r="A297" s="243" t="s">
        <v>1609</v>
      </c>
      <c r="B297" s="209" t="s">
        <v>1607</v>
      </c>
      <c r="C297" s="245" t="str">
        <f>IF('Server PICS'!I$242="Yes","Yes","No")</f>
        <v>No</v>
      </c>
      <c r="D297" s="140" t="s">
        <v>3</v>
      </c>
      <c r="E297" s="171" t="s">
        <v>1916</v>
      </c>
      <c r="F297" s="140"/>
      <c r="G297" s="211" t="s">
        <v>1324</v>
      </c>
      <c r="H297" s="140"/>
      <c r="I297" s="211" t="s">
        <v>1324</v>
      </c>
      <c r="J297" s="140"/>
      <c r="K297" s="211"/>
      <c r="L297" s="212"/>
      <c r="M297" s="241" t="s">
        <v>1628</v>
      </c>
      <c r="N297" s="248" t="s">
        <v>1899</v>
      </c>
    </row>
    <row r="298" spans="1:14" s="155" customFormat="1">
      <c r="A298" s="243" t="s">
        <v>2016</v>
      </c>
      <c r="B298" s="209" t="s">
        <v>1607</v>
      </c>
      <c r="C298" s="245" t="str">
        <f>IF('Server PICS'!I$242="Yes","Yes","No")</f>
        <v>No</v>
      </c>
      <c r="D298" s="140" t="s">
        <v>3</v>
      </c>
      <c r="E298" s="171" t="s">
        <v>1916</v>
      </c>
      <c r="F298" s="140"/>
      <c r="G298" s="211" t="s">
        <v>1324</v>
      </c>
      <c r="H298" s="140"/>
      <c r="I298" s="211" t="s">
        <v>1324</v>
      </c>
      <c r="J298" s="140"/>
      <c r="K298" s="211"/>
      <c r="L298" s="212"/>
      <c r="M298" s="241" t="s">
        <v>1628</v>
      </c>
      <c r="N298" s="248" t="s">
        <v>1899</v>
      </c>
    </row>
    <row r="299" spans="1:14" s="155" customFormat="1">
      <c r="A299" s="243" t="s">
        <v>1616</v>
      </c>
      <c r="B299" s="209" t="s">
        <v>1607</v>
      </c>
      <c r="C299" s="245" t="str">
        <f>IF('Server PICS'!I$247="Yes","Yes","No")</f>
        <v>No</v>
      </c>
      <c r="D299" s="140" t="s">
        <v>3</v>
      </c>
      <c r="E299" s="171" t="s">
        <v>1921</v>
      </c>
      <c r="F299" s="140"/>
      <c r="G299" s="211" t="s">
        <v>1324</v>
      </c>
      <c r="H299" s="140"/>
      <c r="I299" s="211" t="s">
        <v>1324</v>
      </c>
      <c r="J299" s="140"/>
      <c r="K299" s="211"/>
      <c r="L299" s="212"/>
      <c r="M299" s="241" t="s">
        <v>1628</v>
      </c>
      <c r="N299" s="248" t="s">
        <v>1922</v>
      </c>
    </row>
    <row r="300" spans="1:14" s="155" customFormat="1">
      <c r="A300" s="243" t="s">
        <v>1617</v>
      </c>
      <c r="B300" s="209" t="s">
        <v>1607</v>
      </c>
      <c r="C300" s="245" t="str">
        <f>IF('Server PICS'!I$247="Yes","Yes","No")</f>
        <v>No</v>
      </c>
      <c r="D300" s="140" t="s">
        <v>3</v>
      </c>
      <c r="E300" s="171" t="s">
        <v>1921</v>
      </c>
      <c r="F300" s="140"/>
      <c r="G300" s="211" t="s">
        <v>1324</v>
      </c>
      <c r="H300" s="140"/>
      <c r="I300" s="211" t="s">
        <v>1324</v>
      </c>
      <c r="J300" s="140"/>
      <c r="K300" s="211"/>
      <c r="L300" s="212"/>
      <c r="M300" s="241" t="s">
        <v>1628</v>
      </c>
      <c r="N300" s="248" t="s">
        <v>1922</v>
      </c>
    </row>
    <row r="301" spans="1:14" s="155" customFormat="1">
      <c r="A301" s="243" t="s">
        <v>1615</v>
      </c>
      <c r="B301" s="209" t="s">
        <v>1607</v>
      </c>
      <c r="C301" s="245" t="str">
        <f>IF('Server PICS'!I$247="Yes","Yes","No")</f>
        <v>No</v>
      </c>
      <c r="D301" s="140" t="s">
        <v>3</v>
      </c>
      <c r="E301" s="171" t="s">
        <v>1921</v>
      </c>
      <c r="F301" s="140"/>
      <c r="G301" s="211" t="s">
        <v>1324</v>
      </c>
      <c r="H301" s="140"/>
      <c r="I301" s="211" t="s">
        <v>1324</v>
      </c>
      <c r="J301" s="140"/>
      <c r="K301" s="211"/>
      <c r="L301" s="212"/>
      <c r="M301" s="241" t="s">
        <v>1628</v>
      </c>
      <c r="N301" s="248" t="s">
        <v>1922</v>
      </c>
    </row>
    <row r="302" spans="1:14" s="155" customFormat="1">
      <c r="A302" s="243" t="s">
        <v>1606</v>
      </c>
      <c r="B302" s="209" t="s">
        <v>1607</v>
      </c>
      <c r="C302" s="245" t="str">
        <f>IF('Server PICS'!I$240="Yes","Yes","No")</f>
        <v>No</v>
      </c>
      <c r="D302" s="140" t="s">
        <v>3</v>
      </c>
      <c r="E302" s="171" t="s">
        <v>1915</v>
      </c>
      <c r="F302" s="140"/>
      <c r="G302" s="211" t="s">
        <v>1324</v>
      </c>
      <c r="H302" s="140"/>
      <c r="I302" s="211" t="s">
        <v>1324</v>
      </c>
      <c r="J302" s="140"/>
      <c r="K302" s="211"/>
      <c r="L302" s="212"/>
      <c r="M302" s="241" t="s">
        <v>1628</v>
      </c>
      <c r="N302" s="248" t="s">
        <v>1684</v>
      </c>
    </row>
    <row r="303" spans="1:14" s="155" customFormat="1">
      <c r="A303" s="243" t="s">
        <v>1605</v>
      </c>
      <c r="B303" s="209" t="s">
        <v>1607</v>
      </c>
      <c r="C303" s="245" t="str">
        <f>IF('Server PICS'!I$240="Yes","Yes","No")</f>
        <v>No</v>
      </c>
      <c r="D303" s="140" t="s">
        <v>3</v>
      </c>
      <c r="E303" s="171" t="s">
        <v>1915</v>
      </c>
      <c r="F303" s="140"/>
      <c r="G303" s="211" t="s">
        <v>1324</v>
      </c>
      <c r="H303" s="140"/>
      <c r="I303" s="211" t="s">
        <v>1324</v>
      </c>
      <c r="J303" s="140"/>
      <c r="K303" s="211"/>
      <c r="L303" s="212"/>
      <c r="M303" s="241" t="s">
        <v>1628</v>
      </c>
      <c r="N303" s="248" t="s">
        <v>1684</v>
      </c>
    </row>
    <row r="304" spans="1:14" s="155" customFormat="1">
      <c r="A304" s="244" t="s">
        <v>2077</v>
      </c>
      <c r="B304" s="209" t="s">
        <v>1607</v>
      </c>
      <c r="C304" s="245" t="str">
        <f>IF('Server PICS'!I$240="Yes","Yes","No")</f>
        <v>No</v>
      </c>
      <c r="D304" s="140" t="s">
        <v>3</v>
      </c>
      <c r="E304" s="171" t="s">
        <v>1915</v>
      </c>
      <c r="F304" s="140"/>
      <c r="G304" s="211" t="s">
        <v>1324</v>
      </c>
      <c r="H304" s="140"/>
      <c r="I304" s="211" t="s">
        <v>1324</v>
      </c>
      <c r="J304" s="140"/>
      <c r="K304" s="211"/>
      <c r="L304" s="212"/>
      <c r="M304" s="241" t="s">
        <v>1628</v>
      </c>
      <c r="N304" s="248" t="s">
        <v>1684</v>
      </c>
    </row>
    <row r="305" spans="1:14" s="155" customFormat="1">
      <c r="A305" s="243" t="s">
        <v>1611</v>
      </c>
      <c r="B305" s="209" t="s">
        <v>1607</v>
      </c>
      <c r="C305" s="245" t="str">
        <f>IF('Server PICS'!I$243="Yes","Yes","No")</f>
        <v>No</v>
      </c>
      <c r="D305" s="140" t="s">
        <v>3</v>
      </c>
      <c r="E305" s="171" t="s">
        <v>1917</v>
      </c>
      <c r="F305" s="140"/>
      <c r="G305" s="211" t="s">
        <v>1324</v>
      </c>
      <c r="H305" s="140"/>
      <c r="I305" s="211" t="s">
        <v>1324</v>
      </c>
      <c r="J305" s="140"/>
      <c r="K305" s="211"/>
      <c r="L305" s="212"/>
      <c r="M305" s="241" t="s">
        <v>1628</v>
      </c>
      <c r="N305" s="248" t="s">
        <v>1900</v>
      </c>
    </row>
    <row r="306" spans="1:14" s="155" customFormat="1">
      <c r="A306" s="243" t="s">
        <v>1612</v>
      </c>
      <c r="B306" s="209" t="s">
        <v>1607</v>
      </c>
      <c r="C306" s="245" t="str">
        <f>IF(AND('Server PICS'!I$243="Yes",'Server PICS'!I86="Yes"),"Yes","No")</f>
        <v>No</v>
      </c>
      <c r="D306" s="215" t="s">
        <v>71</v>
      </c>
      <c r="E306" s="171" t="s">
        <v>1917</v>
      </c>
      <c r="F306" s="215" t="s">
        <v>1124</v>
      </c>
      <c r="G306" s="171" t="s">
        <v>263</v>
      </c>
      <c r="H306" s="140"/>
      <c r="I306" s="211" t="s">
        <v>1324</v>
      </c>
      <c r="J306" s="140"/>
      <c r="K306" s="211"/>
      <c r="L306" s="212"/>
      <c r="M306" s="241" t="s">
        <v>1628</v>
      </c>
      <c r="N306" s="248" t="s">
        <v>1900</v>
      </c>
    </row>
    <row r="307" spans="1:14" s="155" customFormat="1">
      <c r="A307" s="243" t="s">
        <v>1621</v>
      </c>
      <c r="B307" s="209" t="s">
        <v>1607</v>
      </c>
      <c r="C307" s="245" t="str">
        <f>IF('Server PICS'!I$249="Yes","Yes","No")</f>
        <v>No</v>
      </c>
      <c r="D307" s="215" t="s">
        <v>71</v>
      </c>
      <c r="E307" s="171" t="s">
        <v>1923</v>
      </c>
      <c r="F307" s="140"/>
      <c r="G307" s="211" t="s">
        <v>1324</v>
      </c>
      <c r="H307" s="140"/>
      <c r="I307" s="211" t="s">
        <v>1324</v>
      </c>
      <c r="J307" s="140"/>
      <c r="K307" s="211"/>
      <c r="L307" s="212"/>
      <c r="M307" s="241" t="s">
        <v>1628</v>
      </c>
      <c r="N307" s="248" t="s">
        <v>1685</v>
      </c>
    </row>
    <row r="308" spans="1:14" s="172" customFormat="1">
      <c r="A308" s="244" t="s">
        <v>2127</v>
      </c>
      <c r="B308" s="214" t="s">
        <v>1607</v>
      </c>
      <c r="C308" s="245" t="str">
        <f>IF(AND('Server PICS'!I$249="Yes",'Server PICS'!I$230="Yes"),"Yes","No")</f>
        <v>No</v>
      </c>
      <c r="D308" s="215" t="s">
        <v>71</v>
      </c>
      <c r="E308" s="171" t="s">
        <v>1923</v>
      </c>
      <c r="F308" s="215" t="s">
        <v>1124</v>
      </c>
      <c r="G308" s="171" t="s">
        <v>703</v>
      </c>
      <c r="H308" s="215"/>
      <c r="I308" s="246" t="s">
        <v>1324</v>
      </c>
      <c r="J308" s="215"/>
      <c r="K308" s="246"/>
      <c r="L308" s="247" t="s">
        <v>2128</v>
      </c>
      <c r="M308" s="248" t="s">
        <v>1628</v>
      </c>
      <c r="N308" s="248" t="s">
        <v>1685</v>
      </c>
    </row>
    <row r="309" spans="1:14" s="155" customFormat="1">
      <c r="A309" s="243" t="s">
        <v>1620</v>
      </c>
      <c r="B309" s="209" t="s">
        <v>1607</v>
      </c>
      <c r="C309" s="245" t="str">
        <f>IF('Server PICS'!I$249="Yes","Yes","No")</f>
        <v>No</v>
      </c>
      <c r="D309" s="215" t="s">
        <v>71</v>
      </c>
      <c r="E309" s="171" t="s">
        <v>1923</v>
      </c>
      <c r="F309" s="140"/>
      <c r="G309" s="211" t="s">
        <v>1324</v>
      </c>
      <c r="H309" s="140"/>
      <c r="I309" s="211" t="s">
        <v>1324</v>
      </c>
      <c r="J309" s="140"/>
      <c r="K309" s="211"/>
      <c r="L309" s="212"/>
      <c r="M309" s="241" t="s">
        <v>1628</v>
      </c>
      <c r="N309" s="248" t="s">
        <v>1685</v>
      </c>
    </row>
    <row r="310" spans="1:14" s="155" customFormat="1">
      <c r="A310" s="243" t="s">
        <v>1618</v>
      </c>
      <c r="B310" s="209" t="s">
        <v>1607</v>
      </c>
      <c r="C310" s="245" t="str">
        <f>IF('Server PICS'!I$248="Yes","Yes","No")</f>
        <v>No</v>
      </c>
      <c r="D310" s="140" t="s">
        <v>3</v>
      </c>
      <c r="E310" s="246" t="s">
        <v>1688</v>
      </c>
      <c r="F310" s="140"/>
      <c r="G310" s="211" t="s">
        <v>1324</v>
      </c>
      <c r="H310" s="140"/>
      <c r="I310" s="211" t="s">
        <v>1324</v>
      </c>
      <c r="J310" s="140"/>
      <c r="K310" s="211"/>
      <c r="L310" s="212"/>
      <c r="M310" s="241" t="s">
        <v>1628</v>
      </c>
      <c r="N310" s="248" t="s">
        <v>1927</v>
      </c>
    </row>
    <row r="311" spans="1:14" s="155" customFormat="1">
      <c r="A311" s="243" t="s">
        <v>1619</v>
      </c>
      <c r="B311" s="209" t="s">
        <v>1607</v>
      </c>
      <c r="C311" s="245" t="str">
        <f>IF('Server PICS'!I$248="Yes","Yes","No")</f>
        <v>No</v>
      </c>
      <c r="D311" s="140" t="s">
        <v>3</v>
      </c>
      <c r="E311" s="246" t="s">
        <v>1688</v>
      </c>
      <c r="F311" s="140"/>
      <c r="G311" s="211" t="s">
        <v>1324</v>
      </c>
      <c r="H311" s="140"/>
      <c r="I311" s="211" t="s">
        <v>1324</v>
      </c>
      <c r="J311" s="140"/>
      <c r="K311" s="211"/>
      <c r="L311" s="212"/>
      <c r="M311" s="241" t="s">
        <v>1628</v>
      </c>
      <c r="N311" s="248" t="s">
        <v>1927</v>
      </c>
    </row>
    <row r="312" spans="1:14" s="155" customFormat="1">
      <c r="A312" s="243" t="s">
        <v>1613</v>
      </c>
      <c r="B312" s="209" t="s">
        <v>1607</v>
      </c>
      <c r="C312" s="245" t="str">
        <f>IF('Server PICS'!I$244="Yes","Yes","No")</f>
        <v>No</v>
      </c>
      <c r="D312" s="140" t="s">
        <v>3</v>
      </c>
      <c r="E312" s="171" t="s">
        <v>1918</v>
      </c>
      <c r="F312" s="140"/>
      <c r="G312" s="211" t="s">
        <v>1324</v>
      </c>
      <c r="H312" s="140"/>
      <c r="I312" s="211" t="s">
        <v>1324</v>
      </c>
      <c r="J312" s="140"/>
      <c r="K312" s="211"/>
      <c r="L312" s="212"/>
      <c r="M312" s="241" t="s">
        <v>1628</v>
      </c>
      <c r="N312" s="248" t="s">
        <v>2079</v>
      </c>
    </row>
    <row r="313" spans="1:14" s="155" customFormat="1">
      <c r="A313" s="243" t="s">
        <v>1614</v>
      </c>
      <c r="B313" s="209" t="s">
        <v>1607</v>
      </c>
      <c r="C313" s="245" t="str">
        <f>IF('Server PICS'!I$244="Yes","Yes","No")</f>
        <v>No</v>
      </c>
      <c r="D313" s="140" t="s">
        <v>3</v>
      </c>
      <c r="E313" s="171" t="s">
        <v>1918</v>
      </c>
      <c r="F313" s="140"/>
      <c r="G313" s="211" t="s">
        <v>1324</v>
      </c>
      <c r="H313" s="140"/>
      <c r="I313" s="211" t="s">
        <v>1324</v>
      </c>
      <c r="J313" s="140"/>
      <c r="K313" s="211"/>
      <c r="L313" s="212"/>
      <c r="M313" s="241" t="s">
        <v>1628</v>
      </c>
      <c r="N313" s="248" t="s">
        <v>2079</v>
      </c>
    </row>
    <row r="314" spans="1:14" s="155" customFormat="1">
      <c r="A314" s="243" t="s">
        <v>2017</v>
      </c>
      <c r="B314" s="209" t="s">
        <v>1607</v>
      </c>
      <c r="C314" s="245" t="str">
        <f>IF('Server PICS'!I$245="Yes","Yes","No")</f>
        <v>No</v>
      </c>
      <c r="D314" s="215" t="s">
        <v>71</v>
      </c>
      <c r="E314" s="171" t="s">
        <v>1920</v>
      </c>
      <c r="F314" s="140"/>
      <c r="G314" s="211" t="s">
        <v>1324</v>
      </c>
      <c r="H314" s="140"/>
      <c r="I314" s="211" t="s">
        <v>1324</v>
      </c>
      <c r="J314" s="140"/>
      <c r="K314" s="211"/>
      <c r="L314" s="212"/>
      <c r="M314" s="241" t="s">
        <v>1628</v>
      </c>
      <c r="N314" s="241" t="s">
        <v>539</v>
      </c>
    </row>
    <row r="315" spans="1:14" s="172" customFormat="1">
      <c r="A315" s="244" t="s">
        <v>2078</v>
      </c>
      <c r="B315" s="214" t="s">
        <v>1607</v>
      </c>
      <c r="C315" s="245" t="str">
        <f>IF('Server PICS'!I$246="Yes","Yes","No")</f>
        <v>No</v>
      </c>
      <c r="D315" s="215" t="s">
        <v>71</v>
      </c>
      <c r="E315" s="171" t="s">
        <v>1919</v>
      </c>
      <c r="F315" s="215"/>
      <c r="G315" s="246" t="s">
        <v>1324</v>
      </c>
      <c r="H315" s="215"/>
      <c r="I315" s="246" t="s">
        <v>1324</v>
      </c>
      <c r="J315" s="215"/>
      <c r="K315" s="246"/>
      <c r="L315" s="247"/>
      <c r="M315" s="248" t="s">
        <v>1628</v>
      </c>
      <c r="N315" s="248" t="s">
        <v>1841</v>
      </c>
    </row>
    <row r="316" spans="1:14" s="155" customFormat="1">
      <c r="A316" s="243" t="s">
        <v>1624</v>
      </c>
      <c r="B316" s="209" t="s">
        <v>1607</v>
      </c>
      <c r="C316" s="245" t="str">
        <f>IF('Server PICS'!I$250="Yes","Yes","No")</f>
        <v>No</v>
      </c>
      <c r="D316" s="215" t="s">
        <v>71</v>
      </c>
      <c r="E316" s="211" t="s">
        <v>1687</v>
      </c>
      <c r="F316" s="140"/>
      <c r="G316" s="211" t="s">
        <v>1324</v>
      </c>
      <c r="H316" s="140"/>
      <c r="I316" s="211" t="s">
        <v>1324</v>
      </c>
      <c r="J316" s="140"/>
      <c r="K316" s="211"/>
      <c r="L316" s="212"/>
      <c r="M316" s="241" t="s">
        <v>1628</v>
      </c>
      <c r="N316" s="241" t="s">
        <v>1686</v>
      </c>
    </row>
    <row r="317" spans="1:14" s="155" customFormat="1">
      <c r="A317" s="243" t="s">
        <v>1623</v>
      </c>
      <c r="B317" s="209" t="s">
        <v>1607</v>
      </c>
      <c r="C317" s="245" t="str">
        <f>IF('Server PICS'!I$250="Yes","Yes","No")</f>
        <v>No</v>
      </c>
      <c r="D317" s="215" t="s">
        <v>71</v>
      </c>
      <c r="E317" s="211" t="s">
        <v>1687</v>
      </c>
      <c r="F317" s="140"/>
      <c r="G317" s="211" t="s">
        <v>1324</v>
      </c>
      <c r="H317" s="140"/>
      <c r="I317" s="211" t="s">
        <v>1324</v>
      </c>
      <c r="J317" s="140"/>
      <c r="K317" s="211"/>
      <c r="L317" s="212"/>
      <c r="M317" s="241" t="s">
        <v>1628</v>
      </c>
      <c r="N317" s="241" t="s">
        <v>1686</v>
      </c>
    </row>
    <row r="318" spans="1:14" s="155" customFormat="1">
      <c r="A318" s="243" t="s">
        <v>1622</v>
      </c>
      <c r="B318" s="209" t="s">
        <v>1607</v>
      </c>
      <c r="C318" s="245" t="str">
        <f>IF('Server PICS'!I$250="Yes","Yes","No")</f>
        <v>No</v>
      </c>
      <c r="D318" s="215" t="s">
        <v>71</v>
      </c>
      <c r="E318" s="211" t="s">
        <v>1687</v>
      </c>
      <c r="F318" s="140"/>
      <c r="G318" s="211" t="s">
        <v>1324</v>
      </c>
      <c r="H318" s="140"/>
      <c r="I318" s="211" t="s">
        <v>1324</v>
      </c>
      <c r="J318" s="140"/>
      <c r="K318" s="211"/>
      <c r="L318" s="212"/>
      <c r="M318" s="241" t="s">
        <v>1628</v>
      </c>
      <c r="N318" s="241" t="s">
        <v>1686</v>
      </c>
    </row>
    <row r="319" spans="1:14" s="155" customFormat="1">
      <c r="A319" s="243" t="s">
        <v>1625</v>
      </c>
      <c r="B319" s="209" t="s">
        <v>1607</v>
      </c>
      <c r="C319" s="245" t="str">
        <f>IF('Server PICS'!I$250="Yes","Yes","No")</f>
        <v>No</v>
      </c>
      <c r="D319" s="215" t="s">
        <v>71</v>
      </c>
      <c r="E319" s="211" t="s">
        <v>1687</v>
      </c>
      <c r="F319" s="140"/>
      <c r="G319" s="211" t="s">
        <v>1324</v>
      </c>
      <c r="H319" s="140"/>
      <c r="I319" s="211" t="s">
        <v>1324</v>
      </c>
      <c r="J319" s="140"/>
      <c r="K319" s="211"/>
      <c r="L319" s="212"/>
      <c r="M319" s="241" t="s">
        <v>1628</v>
      </c>
      <c r="N319" s="241" t="s">
        <v>1686</v>
      </c>
    </row>
    <row r="320" spans="1:14" s="155" customFormat="1">
      <c r="A320" s="243" t="s">
        <v>1630</v>
      </c>
      <c r="B320" s="209" t="s">
        <v>2018</v>
      </c>
      <c r="C320" s="210" t="str">
        <f>IF('Server PICS'!I$256="Yes","Yes","No")</f>
        <v>No</v>
      </c>
      <c r="D320" s="140" t="s">
        <v>3</v>
      </c>
      <c r="E320" s="211" t="s">
        <v>1694</v>
      </c>
      <c r="F320" s="140"/>
      <c r="G320" s="211" t="s">
        <v>1324</v>
      </c>
      <c r="H320" s="140"/>
      <c r="I320" s="211"/>
      <c r="J320" s="140"/>
      <c r="K320" s="211"/>
      <c r="L320" s="212"/>
      <c r="M320" s="241" t="s">
        <v>1783</v>
      </c>
      <c r="N320" s="241" t="s">
        <v>1785</v>
      </c>
    </row>
    <row r="321" spans="1:14" s="155" customFormat="1">
      <c r="A321" s="243" t="s">
        <v>1631</v>
      </c>
      <c r="B321" s="209" t="s">
        <v>1660</v>
      </c>
      <c r="C321" s="210" t="str">
        <f>IF('Server PICS'!I$256="Yes","Yes","No")</f>
        <v>No</v>
      </c>
      <c r="D321" s="140" t="s">
        <v>3</v>
      </c>
      <c r="E321" s="211" t="s">
        <v>1694</v>
      </c>
      <c r="F321" s="140"/>
      <c r="G321" s="211" t="s">
        <v>1324</v>
      </c>
      <c r="H321" s="140"/>
      <c r="I321" s="211"/>
      <c r="J321" s="140"/>
      <c r="K321" s="211"/>
      <c r="L321" s="212"/>
      <c r="M321" s="241" t="s">
        <v>1783</v>
      </c>
      <c r="N321" s="241" t="s">
        <v>1785</v>
      </c>
    </row>
    <row r="322" spans="1:14" s="155" customFormat="1">
      <c r="A322" s="243" t="s">
        <v>1629</v>
      </c>
      <c r="B322" s="209" t="s">
        <v>1660</v>
      </c>
      <c r="C322" s="210" t="str">
        <f>IF('Server PICS'!I$256="Yes","Yes","No")</f>
        <v>No</v>
      </c>
      <c r="D322" s="140" t="s">
        <v>3</v>
      </c>
      <c r="E322" s="211" t="s">
        <v>1694</v>
      </c>
      <c r="F322" s="140"/>
      <c r="G322" s="211" t="s">
        <v>1324</v>
      </c>
      <c r="H322" s="140"/>
      <c r="I322" s="211"/>
      <c r="J322" s="140"/>
      <c r="K322" s="211"/>
      <c r="L322" s="212"/>
      <c r="M322" s="241" t="s">
        <v>1783</v>
      </c>
      <c r="N322" s="241" t="s">
        <v>1785</v>
      </c>
    </row>
    <row r="323" spans="1:14" s="155" customFormat="1">
      <c r="A323" s="243" t="s">
        <v>2123</v>
      </c>
      <c r="B323" s="209" t="s">
        <v>2124</v>
      </c>
      <c r="C323" s="210" t="str">
        <f>IF('Server PICS'!I$256="Yes","Yes","No")</f>
        <v>No</v>
      </c>
      <c r="D323" s="140" t="s">
        <v>3</v>
      </c>
      <c r="E323" s="211" t="s">
        <v>1694</v>
      </c>
      <c r="F323" s="140"/>
      <c r="G323" s="211" t="s">
        <v>1324</v>
      </c>
      <c r="H323" s="140"/>
      <c r="I323" s="211"/>
      <c r="J323" s="140"/>
      <c r="K323" s="211"/>
      <c r="L323" s="212"/>
      <c r="M323" s="241" t="s">
        <v>1783</v>
      </c>
      <c r="N323" s="241" t="s">
        <v>1785</v>
      </c>
    </row>
    <row r="324" spans="1:14" s="155" customFormat="1">
      <c r="A324" s="243" t="s">
        <v>1642</v>
      </c>
      <c r="B324" s="209" t="s">
        <v>1660</v>
      </c>
      <c r="C324" s="210" t="str">
        <f>IF('Server PICS'!I$259="Yes","Yes","No")</f>
        <v>No</v>
      </c>
      <c r="D324" s="140" t="s">
        <v>3</v>
      </c>
      <c r="E324" s="211" t="s">
        <v>1711</v>
      </c>
      <c r="F324" s="140"/>
      <c r="G324" s="211" t="s">
        <v>1324</v>
      </c>
      <c r="H324" s="140"/>
      <c r="I324" s="211"/>
      <c r="J324" s="140"/>
      <c r="K324" s="211"/>
      <c r="L324" s="212"/>
      <c r="M324" s="241" t="s">
        <v>1783</v>
      </c>
      <c r="N324" s="241" t="s">
        <v>1722</v>
      </c>
    </row>
    <row r="325" spans="1:14" s="155" customFormat="1">
      <c r="A325" s="243" t="s">
        <v>1640</v>
      </c>
      <c r="B325" s="209" t="s">
        <v>1660</v>
      </c>
      <c r="C325" s="210" t="str">
        <f>IF('Server PICS'!I$259="Yes","Yes","No")</f>
        <v>No</v>
      </c>
      <c r="D325" s="140" t="s">
        <v>3</v>
      </c>
      <c r="E325" s="211" t="s">
        <v>1711</v>
      </c>
      <c r="F325" s="140"/>
      <c r="G325" s="211" t="s">
        <v>1324</v>
      </c>
      <c r="H325" s="140"/>
      <c r="I325" s="211"/>
      <c r="J325" s="140"/>
      <c r="K325" s="211"/>
      <c r="L325" s="212"/>
      <c r="M325" s="241" t="s">
        <v>1783</v>
      </c>
      <c r="N325" s="241" t="s">
        <v>1722</v>
      </c>
    </row>
    <row r="326" spans="1:14" s="155" customFormat="1">
      <c r="A326" s="243" t="s">
        <v>1638</v>
      </c>
      <c r="B326" s="209" t="s">
        <v>1660</v>
      </c>
      <c r="C326" s="210" t="str">
        <f>IF('Server PICS'!I$259="Yes","Yes","No")</f>
        <v>No</v>
      </c>
      <c r="D326" s="140" t="s">
        <v>3</v>
      </c>
      <c r="E326" s="211" t="s">
        <v>1711</v>
      </c>
      <c r="F326" s="140"/>
      <c r="G326" s="211" t="s">
        <v>1324</v>
      </c>
      <c r="H326" s="140"/>
      <c r="I326" s="211"/>
      <c r="J326" s="140"/>
      <c r="K326" s="211"/>
      <c r="L326" s="212"/>
      <c r="M326" s="241" t="s">
        <v>1783</v>
      </c>
      <c r="N326" s="241" t="s">
        <v>1722</v>
      </c>
    </row>
    <row r="327" spans="1:14" s="155" customFormat="1">
      <c r="A327" s="243" t="s">
        <v>1637</v>
      </c>
      <c r="B327" s="209" t="s">
        <v>1660</v>
      </c>
      <c r="C327" s="210" t="str">
        <f>IF('Server PICS'!I$259="Yes","Yes","No")</f>
        <v>No</v>
      </c>
      <c r="D327" s="140" t="s">
        <v>3</v>
      </c>
      <c r="E327" s="211" t="s">
        <v>1711</v>
      </c>
      <c r="F327" s="140"/>
      <c r="G327" s="211" t="s">
        <v>1324</v>
      </c>
      <c r="H327" s="140"/>
      <c r="I327" s="211"/>
      <c r="J327" s="140"/>
      <c r="K327" s="211"/>
      <c r="L327" s="212"/>
      <c r="M327" s="241" t="s">
        <v>1783</v>
      </c>
      <c r="N327" s="241" t="s">
        <v>1722</v>
      </c>
    </row>
    <row r="328" spans="1:14" s="155" customFormat="1">
      <c r="A328" s="243" t="s">
        <v>1639</v>
      </c>
      <c r="B328" s="209" t="s">
        <v>1660</v>
      </c>
      <c r="C328" s="210" t="str">
        <f>IF('Server PICS'!I$259="Yes","Yes","No")</f>
        <v>No</v>
      </c>
      <c r="D328" s="140" t="s">
        <v>3</v>
      </c>
      <c r="E328" s="211" t="s">
        <v>1711</v>
      </c>
      <c r="F328" s="140"/>
      <c r="G328" s="211" t="s">
        <v>1324</v>
      </c>
      <c r="H328" s="140"/>
      <c r="I328" s="211"/>
      <c r="J328" s="140"/>
      <c r="K328" s="211"/>
      <c r="L328" s="212"/>
      <c r="M328" s="241" t="s">
        <v>1783</v>
      </c>
      <c r="N328" s="241" t="s">
        <v>1722</v>
      </c>
    </row>
    <row r="329" spans="1:14" s="155" customFormat="1">
      <c r="A329" s="243" t="s">
        <v>1828</v>
      </c>
      <c r="B329" s="209" t="s">
        <v>1660</v>
      </c>
      <c r="C329" s="210" t="str">
        <f>IF('Server PICS'!I$259="Yes","Yes","No")</f>
        <v>No</v>
      </c>
      <c r="D329" s="140" t="s">
        <v>3</v>
      </c>
      <c r="E329" s="211" t="s">
        <v>1711</v>
      </c>
      <c r="F329" s="140"/>
      <c r="G329" s="211" t="s">
        <v>1324</v>
      </c>
      <c r="H329" s="140"/>
      <c r="I329" s="211"/>
      <c r="J329" s="140"/>
      <c r="K329" s="211"/>
      <c r="L329" s="212"/>
      <c r="M329" s="241" t="s">
        <v>1783</v>
      </c>
      <c r="N329" s="241" t="s">
        <v>1722</v>
      </c>
    </row>
    <row r="330" spans="1:14" s="155" customFormat="1">
      <c r="A330" s="243" t="s">
        <v>1641</v>
      </c>
      <c r="B330" s="209" t="s">
        <v>1660</v>
      </c>
      <c r="C330" s="210" t="str">
        <f>IF('Server PICS'!I$261="Yes","Yes","No")</f>
        <v>No</v>
      </c>
      <c r="D330" s="140" t="s">
        <v>3</v>
      </c>
      <c r="E330" s="211" t="s">
        <v>1713</v>
      </c>
      <c r="F330" s="140"/>
      <c r="G330" s="211" t="s">
        <v>1324</v>
      </c>
      <c r="H330" s="140"/>
      <c r="I330" s="211"/>
      <c r="J330" s="140"/>
      <c r="K330" s="211"/>
      <c r="L330" s="212"/>
      <c r="M330" s="241" t="s">
        <v>1783</v>
      </c>
      <c r="N330" s="241" t="s">
        <v>1724</v>
      </c>
    </row>
    <row r="331" spans="1:14" s="155" customFormat="1">
      <c r="A331" s="243" t="s">
        <v>1644</v>
      </c>
      <c r="B331" s="209" t="s">
        <v>1660</v>
      </c>
      <c r="C331" s="210" t="str">
        <f>IF('Server PICS'!I$261="Yes","Yes","No")</f>
        <v>No</v>
      </c>
      <c r="D331" s="140" t="s">
        <v>3</v>
      </c>
      <c r="E331" s="211" t="s">
        <v>1713</v>
      </c>
      <c r="F331" s="140"/>
      <c r="G331" s="211" t="s">
        <v>1324</v>
      </c>
      <c r="H331" s="140"/>
      <c r="I331" s="211"/>
      <c r="J331" s="140"/>
      <c r="K331" s="211"/>
      <c r="L331" s="212"/>
      <c r="M331" s="241" t="s">
        <v>1783</v>
      </c>
      <c r="N331" s="241" t="s">
        <v>1724</v>
      </c>
    </row>
    <row r="332" spans="1:14" s="155" customFormat="1">
      <c r="A332" s="243" t="s">
        <v>1643</v>
      </c>
      <c r="B332" s="209" t="s">
        <v>1660</v>
      </c>
      <c r="C332" s="210" t="str">
        <f>IF('Server PICS'!I$261="Yes","Yes","No")</f>
        <v>No</v>
      </c>
      <c r="D332" s="140" t="s">
        <v>3</v>
      </c>
      <c r="E332" s="211" t="s">
        <v>1713</v>
      </c>
      <c r="F332" s="140"/>
      <c r="G332" s="211" t="s">
        <v>1324</v>
      </c>
      <c r="H332" s="140"/>
      <c r="I332" s="211"/>
      <c r="J332" s="140"/>
      <c r="K332" s="211"/>
      <c r="L332" s="212"/>
      <c r="M332" s="241" t="s">
        <v>1783</v>
      </c>
      <c r="N332" s="241" t="s">
        <v>1724</v>
      </c>
    </row>
    <row r="333" spans="1:14" s="155" customFormat="1">
      <c r="A333" s="243" t="s">
        <v>1634</v>
      </c>
      <c r="B333" s="209" t="s">
        <v>1660</v>
      </c>
      <c r="C333" s="210" t="str">
        <f>IF('Server PICS'!I$261="Yes","Yes","No")</f>
        <v>No</v>
      </c>
      <c r="D333" s="140" t="s">
        <v>3</v>
      </c>
      <c r="E333" s="211" t="s">
        <v>1713</v>
      </c>
      <c r="F333" s="140"/>
      <c r="G333" s="211" t="s">
        <v>1324</v>
      </c>
      <c r="H333" s="140"/>
      <c r="I333" s="211"/>
      <c r="J333" s="140"/>
      <c r="K333" s="211"/>
      <c r="L333" s="212"/>
      <c r="M333" s="241" t="s">
        <v>1783</v>
      </c>
      <c r="N333" s="241" t="s">
        <v>1724</v>
      </c>
    </row>
    <row r="334" spans="1:14" s="155" customFormat="1">
      <c r="A334" s="243" t="s">
        <v>1632</v>
      </c>
      <c r="B334" s="209" t="s">
        <v>1660</v>
      </c>
      <c r="C334" s="210" t="str">
        <f>IF('Server PICS'!I$261="Yes","Yes","No")</f>
        <v>No</v>
      </c>
      <c r="D334" s="140" t="s">
        <v>3</v>
      </c>
      <c r="E334" s="211" t="s">
        <v>1713</v>
      </c>
      <c r="F334" s="140"/>
      <c r="G334" s="211" t="s">
        <v>1324</v>
      </c>
      <c r="H334" s="140"/>
      <c r="I334" s="211"/>
      <c r="J334" s="140"/>
      <c r="K334" s="211"/>
      <c r="L334" s="212"/>
      <c r="M334" s="241" t="s">
        <v>1783</v>
      </c>
      <c r="N334" s="241" t="s">
        <v>1724</v>
      </c>
    </row>
    <row r="335" spans="1:14" s="155" customFormat="1">
      <c r="A335" s="243" t="s">
        <v>1633</v>
      </c>
      <c r="B335" s="209" t="s">
        <v>1660</v>
      </c>
      <c r="C335" s="210" t="str">
        <f>IF('Server PICS'!I$261="Yes","Yes","No")</f>
        <v>No</v>
      </c>
      <c r="D335" s="140" t="s">
        <v>3</v>
      </c>
      <c r="E335" s="211" t="s">
        <v>1713</v>
      </c>
      <c r="F335" s="140"/>
      <c r="G335" s="211" t="s">
        <v>1324</v>
      </c>
      <c r="H335" s="140"/>
      <c r="I335" s="211"/>
      <c r="J335" s="140"/>
      <c r="K335" s="211"/>
      <c r="L335" s="212"/>
      <c r="M335" s="241" t="s">
        <v>1783</v>
      </c>
      <c r="N335" s="241" t="s">
        <v>1724</v>
      </c>
    </row>
    <row r="336" spans="1:14" s="155" customFormat="1">
      <c r="A336" s="243" t="s">
        <v>1635</v>
      </c>
      <c r="B336" s="209" t="s">
        <v>1660</v>
      </c>
      <c r="C336" s="210" t="str">
        <f>IF('Server PICS'!I$261="Yes","Yes","No")</f>
        <v>No</v>
      </c>
      <c r="D336" s="140" t="s">
        <v>3</v>
      </c>
      <c r="E336" s="211" t="s">
        <v>1713</v>
      </c>
      <c r="F336" s="140"/>
      <c r="G336" s="211" t="s">
        <v>1324</v>
      </c>
      <c r="H336" s="140"/>
      <c r="I336" s="211"/>
      <c r="J336" s="140"/>
      <c r="K336" s="211"/>
      <c r="L336" s="212"/>
      <c r="M336" s="241" t="s">
        <v>1783</v>
      </c>
      <c r="N336" s="241" t="s">
        <v>1724</v>
      </c>
    </row>
    <row r="337" spans="1:14" s="155" customFormat="1">
      <c r="A337" s="243" t="s">
        <v>1827</v>
      </c>
      <c r="B337" s="209" t="s">
        <v>1660</v>
      </c>
      <c r="C337" s="210" t="str">
        <f>IF('Server PICS'!I$262="Yes","Yes","No")</f>
        <v>No</v>
      </c>
      <c r="D337" s="140" t="s">
        <v>3</v>
      </c>
      <c r="E337" s="211" t="s">
        <v>1715</v>
      </c>
      <c r="F337" s="140"/>
      <c r="G337" s="211" t="s">
        <v>1324</v>
      </c>
      <c r="H337" s="140"/>
      <c r="I337" s="211"/>
      <c r="J337" s="140"/>
      <c r="K337" s="211"/>
      <c r="L337" s="212"/>
      <c r="M337" s="241" t="s">
        <v>1783</v>
      </c>
      <c r="N337" s="241" t="s">
        <v>1786</v>
      </c>
    </row>
    <row r="338" spans="1:14" s="155" customFormat="1">
      <c r="A338" s="208" t="s">
        <v>1636</v>
      </c>
      <c r="B338" s="209" t="s">
        <v>1660</v>
      </c>
      <c r="C338" s="210" t="str">
        <f>IF('Server PICS'!I$262="Yes","Yes","No")</f>
        <v>No</v>
      </c>
      <c r="D338" s="140" t="s">
        <v>3</v>
      </c>
      <c r="E338" s="211" t="s">
        <v>1715</v>
      </c>
      <c r="F338" s="140"/>
      <c r="G338" s="211" t="s">
        <v>1324</v>
      </c>
      <c r="H338" s="140"/>
      <c r="I338" s="211"/>
      <c r="J338" s="140"/>
      <c r="K338" s="211"/>
      <c r="L338" s="212"/>
      <c r="M338" s="241" t="s">
        <v>1783</v>
      </c>
      <c r="N338" s="241" t="s">
        <v>1786</v>
      </c>
    </row>
    <row r="339" spans="1:14" s="155" customFormat="1">
      <c r="A339" s="243" t="s">
        <v>1645</v>
      </c>
      <c r="B339" s="209" t="s">
        <v>1661</v>
      </c>
      <c r="C339" s="210" t="str">
        <f>IF('Server PICS'!I$267="Yes","Yes","No")</f>
        <v>No</v>
      </c>
      <c r="D339" s="140" t="s">
        <v>3</v>
      </c>
      <c r="E339" s="211" t="s">
        <v>1721</v>
      </c>
      <c r="F339" s="140"/>
      <c r="G339" s="211" t="s">
        <v>1324</v>
      </c>
      <c r="H339" s="140"/>
      <c r="I339" s="211"/>
      <c r="J339" s="140"/>
      <c r="K339" s="211"/>
      <c r="L339" s="212"/>
      <c r="M339" s="241" t="s">
        <v>1784</v>
      </c>
      <c r="N339" s="241" t="s">
        <v>1785</v>
      </c>
    </row>
    <row r="340" spans="1:14" s="155" customFormat="1">
      <c r="A340" s="243" t="s">
        <v>1646</v>
      </c>
      <c r="B340" s="209" t="s">
        <v>1661</v>
      </c>
      <c r="C340" s="210" t="str">
        <f>IF('Server PICS'!I$267="Yes","Yes","No")</f>
        <v>No</v>
      </c>
      <c r="D340" s="140" t="s">
        <v>3</v>
      </c>
      <c r="E340" s="211" t="s">
        <v>1721</v>
      </c>
      <c r="F340" s="140"/>
      <c r="G340" s="211" t="s">
        <v>1324</v>
      </c>
      <c r="H340" s="140"/>
      <c r="I340" s="211"/>
      <c r="J340" s="140"/>
      <c r="K340" s="211"/>
      <c r="L340" s="212"/>
      <c r="M340" s="241" t="s">
        <v>1784</v>
      </c>
      <c r="N340" s="241" t="s">
        <v>1785</v>
      </c>
    </row>
    <row r="341" spans="1:14" s="155" customFormat="1">
      <c r="A341" s="243" t="s">
        <v>1647</v>
      </c>
      <c r="B341" s="209" t="s">
        <v>1661</v>
      </c>
      <c r="C341" s="210" t="str">
        <f>IF('Server PICS'!I$267="Yes","Yes","No")</f>
        <v>No</v>
      </c>
      <c r="D341" s="140" t="s">
        <v>3</v>
      </c>
      <c r="E341" s="211" t="s">
        <v>1721</v>
      </c>
      <c r="F341" s="140"/>
      <c r="G341" s="211" t="s">
        <v>1324</v>
      </c>
      <c r="H341" s="140"/>
      <c r="I341" s="211"/>
      <c r="J341" s="140"/>
      <c r="K341" s="211"/>
      <c r="L341" s="212"/>
      <c r="M341" s="241" t="s">
        <v>1784</v>
      </c>
      <c r="N341" s="241" t="s">
        <v>1785</v>
      </c>
    </row>
    <row r="342" spans="1:14" s="155" customFormat="1">
      <c r="A342" s="243" t="s">
        <v>1648</v>
      </c>
      <c r="B342" s="209" t="s">
        <v>1661</v>
      </c>
      <c r="C342" s="210" t="str">
        <f>IF('Server PICS'!I$270="Yes","Yes","No")</f>
        <v>No</v>
      </c>
      <c r="D342" s="140" t="s">
        <v>3</v>
      </c>
      <c r="E342" s="211" t="s">
        <v>1723</v>
      </c>
      <c r="F342" s="140"/>
      <c r="G342" s="211" t="s">
        <v>1324</v>
      </c>
      <c r="H342" s="140"/>
      <c r="I342" s="211"/>
      <c r="J342" s="140"/>
      <c r="K342" s="211"/>
      <c r="L342" s="212"/>
      <c r="M342" s="241" t="s">
        <v>1784</v>
      </c>
      <c r="N342" s="241" t="s">
        <v>1722</v>
      </c>
    </row>
    <row r="343" spans="1:14" s="155" customFormat="1">
      <c r="A343" s="243" t="s">
        <v>1814</v>
      </c>
      <c r="B343" s="209" t="s">
        <v>1661</v>
      </c>
      <c r="C343" s="210" t="str">
        <f>IF('Server PICS'!I$270="Yes","Yes","No")</f>
        <v>No</v>
      </c>
      <c r="D343" s="140" t="s">
        <v>3</v>
      </c>
      <c r="E343" s="211" t="s">
        <v>1723</v>
      </c>
      <c r="F343" s="140"/>
      <c r="G343" s="211" t="s">
        <v>1324</v>
      </c>
      <c r="H343" s="140"/>
      <c r="I343" s="211"/>
      <c r="J343" s="140"/>
      <c r="K343" s="211"/>
      <c r="L343" s="212"/>
      <c r="M343" s="241" t="s">
        <v>1784</v>
      </c>
      <c r="N343" s="241" t="s">
        <v>1722</v>
      </c>
    </row>
    <row r="344" spans="1:14" s="155" customFormat="1">
      <c r="A344" s="243" t="s">
        <v>1813</v>
      </c>
      <c r="B344" s="209" t="s">
        <v>1661</v>
      </c>
      <c r="C344" s="210" t="str">
        <f>IF('Server PICS'!I$270="Yes","Yes","No")</f>
        <v>No</v>
      </c>
      <c r="D344" s="140" t="s">
        <v>3</v>
      </c>
      <c r="E344" s="211" t="s">
        <v>1723</v>
      </c>
      <c r="F344" s="140"/>
      <c r="G344" s="211" t="s">
        <v>1324</v>
      </c>
      <c r="H344" s="140"/>
      <c r="I344" s="211"/>
      <c r="J344" s="140"/>
      <c r="K344" s="211"/>
      <c r="L344" s="212"/>
      <c r="M344" s="241" t="s">
        <v>1784</v>
      </c>
      <c r="N344" s="241" t="s">
        <v>1722</v>
      </c>
    </row>
    <row r="345" spans="1:14" s="155" customFormat="1">
      <c r="A345" s="243" t="s">
        <v>1829</v>
      </c>
      <c r="B345" s="209" t="s">
        <v>1830</v>
      </c>
      <c r="C345" s="210" t="str">
        <f>IF('Server PICS'!I$270="Yes","Yes","No")</f>
        <v>No</v>
      </c>
      <c r="D345" s="140" t="s">
        <v>3</v>
      </c>
      <c r="E345" s="211" t="s">
        <v>1723</v>
      </c>
      <c r="F345" s="140"/>
      <c r="G345" s="211" t="s">
        <v>1324</v>
      </c>
      <c r="H345" s="140"/>
      <c r="I345" s="211"/>
      <c r="J345" s="140"/>
      <c r="K345" s="211"/>
      <c r="L345" s="212"/>
      <c r="M345" s="241" t="s">
        <v>1784</v>
      </c>
      <c r="N345" s="241" t="s">
        <v>1722</v>
      </c>
    </row>
    <row r="346" spans="1:14" s="155" customFormat="1">
      <c r="A346" s="243" t="s">
        <v>1649</v>
      </c>
      <c r="B346" s="209" t="s">
        <v>1661</v>
      </c>
      <c r="C346" s="210" t="str">
        <f>IF('Server PICS'!I$272="Yes","Yes","No")</f>
        <v>No</v>
      </c>
      <c r="D346" s="140" t="s">
        <v>3</v>
      </c>
      <c r="E346" s="211" t="s">
        <v>1725</v>
      </c>
      <c r="F346" s="140"/>
      <c r="G346" s="211" t="s">
        <v>1324</v>
      </c>
      <c r="H346" s="140"/>
      <c r="I346" s="211"/>
      <c r="J346" s="140"/>
      <c r="K346" s="211"/>
      <c r="L346" s="212"/>
      <c r="M346" s="241" t="s">
        <v>1784</v>
      </c>
      <c r="N346" s="241" t="s">
        <v>1724</v>
      </c>
    </row>
    <row r="347" spans="1:14" s="155" customFormat="1">
      <c r="A347" s="243" t="s">
        <v>1650</v>
      </c>
      <c r="B347" s="209" t="s">
        <v>1661</v>
      </c>
      <c r="C347" s="210" t="str">
        <f>IF('Server PICS'!I$272="Yes","Yes","No")</f>
        <v>No</v>
      </c>
      <c r="D347" s="140" t="s">
        <v>3</v>
      </c>
      <c r="E347" s="211" t="s">
        <v>1725</v>
      </c>
      <c r="F347" s="140"/>
      <c r="G347" s="211" t="s">
        <v>1324</v>
      </c>
      <c r="H347" s="140"/>
      <c r="I347" s="211"/>
      <c r="J347" s="140"/>
      <c r="K347" s="211"/>
      <c r="L347" s="212"/>
      <c r="M347" s="241" t="s">
        <v>1784</v>
      </c>
      <c r="N347" s="241" t="s">
        <v>1724</v>
      </c>
    </row>
    <row r="348" spans="1:14" s="155" customFormat="1">
      <c r="A348" s="243" t="s">
        <v>1651</v>
      </c>
      <c r="B348" s="209" t="s">
        <v>1661</v>
      </c>
      <c r="C348" s="210" t="str">
        <f>IF('Server PICS'!I$272="Yes","Yes","No")</f>
        <v>No</v>
      </c>
      <c r="D348" s="140" t="s">
        <v>3</v>
      </c>
      <c r="E348" s="211" t="s">
        <v>1725</v>
      </c>
      <c r="F348" s="140"/>
      <c r="G348" s="211" t="s">
        <v>1324</v>
      </c>
      <c r="H348" s="140"/>
      <c r="I348" s="211"/>
      <c r="J348" s="140"/>
      <c r="K348" s="211"/>
      <c r="L348" s="212"/>
      <c r="M348" s="241" t="s">
        <v>1784</v>
      </c>
      <c r="N348" s="241" t="s">
        <v>1724</v>
      </c>
    </row>
    <row r="349" spans="1:14" s="155" customFormat="1">
      <c r="A349" s="243" t="s">
        <v>1831</v>
      </c>
      <c r="B349" s="209" t="s">
        <v>1830</v>
      </c>
      <c r="C349" s="210" t="str">
        <f>IF('Server PICS'!I$272="Yes","Yes","No")</f>
        <v>No</v>
      </c>
      <c r="D349" s="140" t="s">
        <v>3</v>
      </c>
      <c r="E349" s="211" t="s">
        <v>1725</v>
      </c>
      <c r="F349" s="140"/>
      <c r="G349" s="211" t="s">
        <v>1324</v>
      </c>
      <c r="H349" s="140"/>
      <c r="I349" s="211"/>
      <c r="J349" s="140"/>
      <c r="K349" s="211"/>
      <c r="L349" s="212"/>
      <c r="M349" s="241" t="s">
        <v>1784</v>
      </c>
      <c r="N349" s="241" t="s">
        <v>1724</v>
      </c>
    </row>
    <row r="350" spans="1:14" s="155" customFormat="1">
      <c r="A350" s="243" t="s">
        <v>1652</v>
      </c>
      <c r="B350" s="209" t="s">
        <v>1661</v>
      </c>
      <c r="C350" s="210" t="str">
        <f>IF('Server PICS'!I$272="Yes","Yes","No")</f>
        <v>No</v>
      </c>
      <c r="D350" s="140" t="s">
        <v>3</v>
      </c>
      <c r="E350" s="211" t="s">
        <v>1725</v>
      </c>
      <c r="F350" s="140"/>
      <c r="G350" s="211" t="s">
        <v>1324</v>
      </c>
      <c r="H350" s="140"/>
      <c r="I350" s="211"/>
      <c r="J350" s="140"/>
      <c r="K350" s="211"/>
      <c r="L350" s="212"/>
      <c r="M350" s="241" t="s">
        <v>1784</v>
      </c>
      <c r="N350" s="241" t="s">
        <v>1724</v>
      </c>
    </row>
    <row r="351" spans="1:14" s="155" customFormat="1">
      <c r="A351" s="243" t="s">
        <v>1653</v>
      </c>
      <c r="B351" s="209" t="s">
        <v>1661</v>
      </c>
      <c r="C351" s="210" t="str">
        <f>IF('Server PICS'!I$272="Yes","Yes","No")</f>
        <v>No</v>
      </c>
      <c r="D351" s="140" t="s">
        <v>3</v>
      </c>
      <c r="E351" s="211" t="s">
        <v>1725</v>
      </c>
      <c r="F351" s="140"/>
      <c r="G351" s="211" t="s">
        <v>1324</v>
      </c>
      <c r="H351" s="140"/>
      <c r="I351" s="211"/>
      <c r="J351" s="140"/>
      <c r="K351" s="211"/>
      <c r="L351" s="212"/>
      <c r="M351" s="241" t="s">
        <v>1784</v>
      </c>
      <c r="N351" s="241" t="s">
        <v>1724</v>
      </c>
    </row>
    <row r="352" spans="1:14" s="155" customFormat="1">
      <c r="A352" s="243" t="s">
        <v>1654</v>
      </c>
      <c r="B352" s="209" t="s">
        <v>1661</v>
      </c>
      <c r="C352" s="210" t="str">
        <f>IF('Server PICS'!I$272="Yes","Yes","No")</f>
        <v>No</v>
      </c>
      <c r="D352" s="140" t="s">
        <v>3</v>
      </c>
      <c r="E352" s="211" t="s">
        <v>1725</v>
      </c>
      <c r="F352" s="140"/>
      <c r="G352" s="211" t="s">
        <v>1324</v>
      </c>
      <c r="H352" s="140"/>
      <c r="I352" s="211"/>
      <c r="J352" s="140"/>
      <c r="K352" s="211"/>
      <c r="L352" s="212"/>
      <c r="M352" s="241" t="s">
        <v>1784</v>
      </c>
      <c r="N352" s="241" t="s">
        <v>1724</v>
      </c>
    </row>
    <row r="353" spans="1:14" s="155" customFormat="1">
      <c r="A353" s="243" t="s">
        <v>1655</v>
      </c>
      <c r="B353" s="209" t="s">
        <v>1661</v>
      </c>
      <c r="C353" s="210" t="str">
        <f>IF('Server PICS'!I$273="Yes","Yes","No")</f>
        <v>No</v>
      </c>
      <c r="D353" s="140" t="s">
        <v>3</v>
      </c>
      <c r="E353" s="211" t="s">
        <v>1727</v>
      </c>
      <c r="F353" s="140"/>
      <c r="G353" s="211" t="s">
        <v>1324</v>
      </c>
      <c r="H353" s="140"/>
      <c r="I353" s="211"/>
      <c r="J353" s="140"/>
      <c r="K353" s="211"/>
      <c r="L353" s="212"/>
      <c r="M353" s="241" t="s">
        <v>1784</v>
      </c>
      <c r="N353" s="241" t="s">
        <v>1786</v>
      </c>
    </row>
    <row r="354" spans="1:14" s="155" customFormat="1">
      <c r="A354" s="243" t="s">
        <v>1656</v>
      </c>
      <c r="B354" s="209" t="s">
        <v>1661</v>
      </c>
      <c r="C354" s="210" t="str">
        <f>IF('Server PICS'!I$273="Yes","Yes","No")</f>
        <v>No</v>
      </c>
      <c r="D354" s="140" t="s">
        <v>3</v>
      </c>
      <c r="E354" s="211" t="s">
        <v>1727</v>
      </c>
      <c r="F354" s="140"/>
      <c r="G354" s="211" t="s">
        <v>1324</v>
      </c>
      <c r="H354" s="140"/>
      <c r="I354" s="211"/>
      <c r="J354" s="140"/>
      <c r="K354" s="211"/>
      <c r="L354" s="212"/>
      <c r="M354" s="241" t="s">
        <v>1784</v>
      </c>
      <c r="N354" s="241" t="s">
        <v>1786</v>
      </c>
    </row>
    <row r="355" spans="1:14" s="155" customFormat="1">
      <c r="A355" s="243" t="s">
        <v>1657</v>
      </c>
      <c r="B355" s="209" t="s">
        <v>1661</v>
      </c>
      <c r="C355" s="210" t="str">
        <f>IF('Server PICS'!I$275="Yes","Yes","No")</f>
        <v>No</v>
      </c>
      <c r="D355" s="140" t="s">
        <v>3</v>
      </c>
      <c r="E355" s="211" t="s">
        <v>1731</v>
      </c>
      <c r="F355" s="140"/>
      <c r="G355" s="211" t="s">
        <v>1324</v>
      </c>
      <c r="H355" s="140"/>
      <c r="I355" s="211"/>
      <c r="J355" s="140"/>
      <c r="K355" s="211"/>
      <c r="L355" s="212"/>
      <c r="M355" s="241" t="s">
        <v>1784</v>
      </c>
      <c r="N355" s="241" t="s">
        <v>1787</v>
      </c>
    </row>
    <row r="356" spans="1:14" s="155" customFormat="1">
      <c r="A356" s="243" t="s">
        <v>1658</v>
      </c>
      <c r="B356" s="209" t="s">
        <v>1661</v>
      </c>
      <c r="C356" s="210" t="str">
        <f>IF('Server PICS'!I$275="Yes","Yes","No")</f>
        <v>No</v>
      </c>
      <c r="D356" s="140" t="s">
        <v>3</v>
      </c>
      <c r="E356" s="211" t="s">
        <v>1731</v>
      </c>
      <c r="F356" s="140"/>
      <c r="G356" s="211" t="s">
        <v>1324</v>
      </c>
      <c r="H356" s="140"/>
      <c r="I356" s="211"/>
      <c r="J356" s="140"/>
      <c r="K356" s="211"/>
      <c r="L356" s="212"/>
      <c r="M356" s="241" t="s">
        <v>1784</v>
      </c>
      <c r="N356" s="241" t="s">
        <v>1787</v>
      </c>
    </row>
    <row r="357" spans="1:14" s="155" customFormat="1">
      <c r="A357" s="243" t="s">
        <v>1659</v>
      </c>
      <c r="B357" s="209" t="s">
        <v>1661</v>
      </c>
      <c r="C357" s="210" t="str">
        <f>IF('Server PICS'!I$275="Yes","Yes","No")</f>
        <v>No</v>
      </c>
      <c r="D357" s="140" t="s">
        <v>3</v>
      </c>
      <c r="E357" s="211" t="s">
        <v>1731</v>
      </c>
      <c r="F357" s="140"/>
      <c r="G357" s="211" t="s">
        <v>1324</v>
      </c>
      <c r="H357" s="140"/>
      <c r="I357" s="211"/>
      <c r="J357" s="140"/>
      <c r="K357" s="211"/>
      <c r="L357" s="212"/>
      <c r="M357" s="241" t="s">
        <v>1784</v>
      </c>
      <c r="N357" s="241" t="s">
        <v>1787</v>
      </c>
    </row>
  </sheetData>
  <sheetProtection sheet="1" objects="1" scenarios="1" sort="0" autoFilter="0"/>
  <autoFilter ref="A1:N357"/>
  <dataValidations disablePrompts="1" count="2">
    <dataValidation type="list" allowBlank="1" showInputMessage="1" showErrorMessage="1" sqref="D18:D35">
      <formula1>"Mandatory,Conditional"</formula1>
    </dataValidation>
    <dataValidation allowBlank="1" showInputMessage="1" showErrorMessage="1" sqref="A338"/>
  </dataValidations>
  <pageMargins left="0.7" right="0.7" top="0.75" bottom="0.75" header="0.3" footer="0.3"/>
  <pageSetup orientation="portrait"/>
  <headerFooter>
    <oddHeader>&amp;L&amp;"nokia pure text,Bold"&amp;10&amp;K99CC33Company Confidential&amp;C&amp;"arial,Bold"&amp;10&amp;K3E8430Nokia Internal Use Only</oddHeader>
    <oddFooter>&amp;L&amp;"nokia pure text,Bold"&amp;10&amp;K99CC33Company Confidential&amp;C&amp;"arial,Bold"&amp;10&amp;K3E8430Nokia Internal Use Only</oddFooter>
    <evenHeader>&amp;L&amp;"nokia pure text,Bold"&amp;10&amp;K99CC33Company Confidential&amp;C&amp;"arial,Bold"&amp;10&amp;K3E8430Nokia Internal Use Only</evenHeader>
    <evenFooter>&amp;L&amp;"nokia pure text,Bold"&amp;10&amp;K99CC33Company Confidential&amp;C&amp;"arial,Bold"&amp;10&amp;K3E8430Nokia Internal Use Only</evenFooter>
    <firstHeader>&amp;L&amp;"nokia pure text,Bold"&amp;10&amp;K99CC33Company Confidential&amp;C&amp;"arial,Bold"&amp;10&amp;K3E8430Nokia Internal Use Only</firstHeader>
    <firstFooter>&amp;L&amp;"nokia pure text,Bold"&amp;10&amp;K99CC33Company Confidential&amp;C&amp;"arial,Bold"&amp;10&amp;K3E8430Nokia Internal Use Only</firstFoot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E99"/>
  <sheetViews>
    <sheetView workbookViewId="0">
      <pane ySplit="1" topLeftCell="A2" activePane="bottomLeft" state="frozenSplit"/>
      <selection activeCell="D142" sqref="D142:G142"/>
      <selection pane="bottomLeft" activeCell="D30" sqref="D30"/>
    </sheetView>
  </sheetViews>
  <sheetFormatPr baseColWidth="10" defaultColWidth="10.83203125" defaultRowHeight="15" x14ac:dyDescent="0"/>
  <cols>
    <col min="1" max="1" width="15.6640625" style="18" bestFit="1" customWidth="1"/>
    <col min="2" max="2" width="10.83203125" style="84" customWidth="1"/>
    <col min="3" max="3" width="0" style="19" hidden="1" customWidth="1"/>
    <col min="4" max="4" width="66.83203125" style="20" customWidth="1"/>
    <col min="5" max="5" width="84.33203125" style="17" customWidth="1"/>
    <col min="6" max="16384" width="10.83203125" style="9"/>
  </cols>
  <sheetData>
    <row r="1" spans="1:5" s="8" customFormat="1" ht="16" thickBot="1">
      <c r="A1" s="22" t="s">
        <v>733</v>
      </c>
      <c r="B1" s="22" t="s">
        <v>734</v>
      </c>
      <c r="C1" s="22" t="s">
        <v>735</v>
      </c>
      <c r="D1" s="22" t="s">
        <v>224</v>
      </c>
      <c r="E1" s="22" t="s">
        <v>736</v>
      </c>
    </row>
    <row r="2" spans="1:5" ht="30">
      <c r="A2" s="45" t="s">
        <v>737</v>
      </c>
      <c r="B2" s="78">
        <v>1000</v>
      </c>
      <c r="C2" s="33"/>
      <c r="D2" s="34" t="s">
        <v>738</v>
      </c>
      <c r="E2" s="72"/>
    </row>
    <row r="3" spans="1:5" ht="30">
      <c r="A3" s="46"/>
      <c r="B3" s="79">
        <v>1001</v>
      </c>
      <c r="C3" s="36"/>
      <c r="D3" s="37" t="s">
        <v>739</v>
      </c>
      <c r="E3" s="15"/>
    </row>
    <row r="4" spans="1:5">
      <c r="A4" s="46"/>
      <c r="B4" s="79">
        <v>1100</v>
      </c>
      <c r="C4" s="36"/>
      <c r="D4" s="37" t="s">
        <v>740</v>
      </c>
      <c r="E4" s="15"/>
    </row>
    <row r="5" spans="1:5">
      <c r="A5" s="46"/>
      <c r="B5" s="79">
        <v>1101</v>
      </c>
      <c r="C5" s="36"/>
      <c r="D5" s="37" t="s">
        <v>741</v>
      </c>
      <c r="E5" s="15"/>
    </row>
    <row r="6" spans="1:5">
      <c r="A6" s="46"/>
      <c r="B6" s="79">
        <v>1102</v>
      </c>
      <c r="C6" s="36"/>
      <c r="D6" s="37" t="s">
        <v>742</v>
      </c>
      <c r="E6" s="15"/>
    </row>
    <row r="7" spans="1:5">
      <c r="A7" s="46"/>
      <c r="B7" s="79">
        <v>1110</v>
      </c>
      <c r="C7" s="36"/>
      <c r="D7" s="37" t="s">
        <v>743</v>
      </c>
      <c r="E7" s="15"/>
    </row>
    <row r="8" spans="1:5">
      <c r="A8" s="46"/>
      <c r="B8" s="79">
        <v>1111</v>
      </c>
      <c r="C8" s="36"/>
      <c r="D8" s="37" t="s">
        <v>744</v>
      </c>
      <c r="E8" s="44"/>
    </row>
    <row r="9" spans="1:5">
      <c r="A9" s="46"/>
      <c r="B9" s="79">
        <v>1200</v>
      </c>
      <c r="C9" s="36"/>
      <c r="D9" s="37" t="s">
        <v>745</v>
      </c>
      <c r="E9" s="15"/>
    </row>
    <row r="10" spans="1:5" ht="30">
      <c r="A10" s="46"/>
      <c r="B10" s="79">
        <v>1250</v>
      </c>
      <c r="C10" s="36"/>
      <c r="D10" s="37" t="s">
        <v>746</v>
      </c>
      <c r="E10" s="15"/>
    </row>
    <row r="11" spans="1:5">
      <c r="A11" s="46"/>
      <c r="B11" s="79">
        <v>1300</v>
      </c>
      <c r="C11" s="36"/>
      <c r="D11" s="37" t="s">
        <v>747</v>
      </c>
      <c r="E11" s="15"/>
    </row>
    <row r="12" spans="1:5">
      <c r="A12" s="46"/>
      <c r="B12" s="79">
        <v>1301</v>
      </c>
      <c r="C12" s="36"/>
      <c r="D12" s="37" t="s">
        <v>748</v>
      </c>
      <c r="E12" s="15"/>
    </row>
    <row r="13" spans="1:5">
      <c r="A13" s="46"/>
      <c r="B13" s="79">
        <v>1302</v>
      </c>
      <c r="C13" s="36"/>
      <c r="D13" s="37" t="s">
        <v>749</v>
      </c>
      <c r="E13" s="15"/>
    </row>
    <row r="14" spans="1:5">
      <c r="A14" s="46"/>
      <c r="B14" s="79">
        <v>1303</v>
      </c>
      <c r="C14" s="36"/>
      <c r="D14" s="37" t="s">
        <v>750</v>
      </c>
      <c r="E14" s="15"/>
    </row>
    <row r="15" spans="1:5" ht="30">
      <c r="A15" s="46"/>
      <c r="B15" s="79">
        <v>1304</v>
      </c>
      <c r="C15" s="36"/>
      <c r="D15" s="37" t="s">
        <v>751</v>
      </c>
      <c r="E15" s="15"/>
    </row>
    <row r="16" spans="1:5">
      <c r="A16" s="46"/>
      <c r="B16" s="79">
        <v>1305</v>
      </c>
      <c r="C16" s="36"/>
      <c r="D16" s="37" t="s">
        <v>752</v>
      </c>
      <c r="E16" s="15"/>
    </row>
    <row r="17" spans="1:5">
      <c r="A17" s="46"/>
      <c r="B17" s="79">
        <v>1306</v>
      </c>
      <c r="C17" s="36"/>
      <c r="D17" s="37" t="s">
        <v>753</v>
      </c>
      <c r="E17" s="15"/>
    </row>
    <row r="18" spans="1:5" ht="30">
      <c r="A18" s="46"/>
      <c r="B18" s="79">
        <v>1307</v>
      </c>
      <c r="C18" s="36"/>
      <c r="D18" s="37" t="s">
        <v>754</v>
      </c>
      <c r="E18" s="15"/>
    </row>
    <row r="19" spans="1:5">
      <c r="A19" s="46"/>
      <c r="B19" s="79">
        <v>1308</v>
      </c>
      <c r="C19" s="36"/>
      <c r="D19" s="37" t="s">
        <v>755</v>
      </c>
      <c r="E19" s="15"/>
    </row>
    <row r="20" spans="1:5">
      <c r="A20" s="46"/>
      <c r="B20" s="79">
        <v>1309</v>
      </c>
      <c r="C20" s="36"/>
      <c r="D20" s="37" t="s">
        <v>755</v>
      </c>
      <c r="E20" s="15"/>
    </row>
    <row r="21" spans="1:5">
      <c r="A21" s="46"/>
      <c r="B21" s="79">
        <v>1310</v>
      </c>
      <c r="C21" s="36"/>
      <c r="D21" s="37" t="s">
        <v>756</v>
      </c>
      <c r="E21" s="15"/>
    </row>
    <row r="22" spans="1:5" ht="30">
      <c r="A22" s="46"/>
      <c r="B22" s="79">
        <v>1400</v>
      </c>
      <c r="C22" s="36"/>
      <c r="D22" s="37" t="s">
        <v>757</v>
      </c>
      <c r="E22" s="123"/>
    </row>
    <row r="23" spans="1:5" ht="16" thickBot="1">
      <c r="A23" s="48"/>
      <c r="B23" s="80">
        <v>1401</v>
      </c>
      <c r="C23" s="39"/>
      <c r="D23" s="40" t="s">
        <v>1789</v>
      </c>
      <c r="E23" s="16"/>
    </row>
    <row r="24" spans="1:5">
      <c r="A24" s="53" t="s">
        <v>81</v>
      </c>
      <c r="B24" s="81">
        <v>2001</v>
      </c>
      <c r="C24" s="42"/>
      <c r="D24" s="43" t="s">
        <v>758</v>
      </c>
      <c r="E24" s="14"/>
    </row>
    <row r="25" spans="1:5">
      <c r="A25" s="46"/>
      <c r="B25" s="79">
        <v>2002</v>
      </c>
      <c r="C25" s="36"/>
      <c r="D25" s="37" t="s">
        <v>759</v>
      </c>
      <c r="E25" s="15"/>
    </row>
    <row r="26" spans="1:5">
      <c r="A26" s="46"/>
      <c r="B26" s="79">
        <v>2003</v>
      </c>
      <c r="C26" s="36"/>
      <c r="D26" s="37" t="s">
        <v>2149</v>
      </c>
      <c r="E26" s="15"/>
    </row>
    <row r="27" spans="1:5">
      <c r="A27" s="124"/>
      <c r="B27" s="79">
        <v>2004</v>
      </c>
      <c r="C27" s="36"/>
      <c r="D27" s="37" t="s">
        <v>2150</v>
      </c>
      <c r="E27" s="15"/>
    </row>
    <row r="28" spans="1:5">
      <c r="A28" s="46"/>
      <c r="B28" s="79">
        <v>7019</v>
      </c>
      <c r="C28" s="36"/>
      <c r="D28" s="37" t="s">
        <v>835</v>
      </c>
      <c r="E28" s="15"/>
    </row>
    <row r="29" spans="1:5">
      <c r="A29" s="46"/>
      <c r="B29" s="79">
        <v>7015</v>
      </c>
      <c r="C29" s="36"/>
      <c r="D29" s="37" t="s">
        <v>760</v>
      </c>
      <c r="E29" s="15"/>
    </row>
    <row r="30" spans="1:5" ht="30">
      <c r="A30" s="46"/>
      <c r="B30" s="79">
        <v>7016</v>
      </c>
      <c r="C30" s="36"/>
      <c r="D30" s="37" t="s">
        <v>761</v>
      </c>
      <c r="E30" s="15"/>
    </row>
    <row r="31" spans="1:5" ht="16" thickBot="1">
      <c r="A31" s="48"/>
      <c r="B31" s="80">
        <v>7017</v>
      </c>
      <c r="C31" s="39"/>
      <c r="D31" s="40" t="s">
        <v>762</v>
      </c>
      <c r="E31" s="16"/>
    </row>
    <row r="32" spans="1:5" ht="30">
      <c r="A32" s="45" t="s">
        <v>129</v>
      </c>
      <c r="B32" s="78">
        <v>3000</v>
      </c>
      <c r="C32" s="33"/>
      <c r="D32" s="34" t="s">
        <v>763</v>
      </c>
      <c r="E32" s="130"/>
    </row>
    <row r="33" spans="1:5" ht="30">
      <c r="A33" s="46"/>
      <c r="B33" s="79">
        <v>3002</v>
      </c>
      <c r="C33" s="36"/>
      <c r="D33" s="37" t="s">
        <v>1790</v>
      </c>
      <c r="E33" s="15"/>
    </row>
    <row r="34" spans="1:5" ht="45">
      <c r="A34" s="124"/>
      <c r="B34" s="125">
        <v>3003</v>
      </c>
      <c r="C34" s="126"/>
      <c r="D34" s="127" t="s">
        <v>2072</v>
      </c>
      <c r="E34" s="15"/>
    </row>
    <row r="35" spans="1:5" s="132" customFormat="1" ht="30">
      <c r="A35" s="46"/>
      <c r="B35" s="79">
        <v>3100</v>
      </c>
      <c r="C35" s="36"/>
      <c r="D35" s="37" t="s">
        <v>1741</v>
      </c>
      <c r="E35" s="131"/>
    </row>
    <row r="36" spans="1:5" s="132" customFormat="1" ht="30">
      <c r="A36" s="46"/>
      <c r="B36" s="79">
        <v>3200</v>
      </c>
      <c r="C36" s="36"/>
      <c r="D36" s="37" t="s">
        <v>1742</v>
      </c>
      <c r="E36" s="131"/>
    </row>
    <row r="37" spans="1:5" s="132" customFormat="1" ht="45">
      <c r="A37" s="37"/>
      <c r="B37" s="79">
        <v>3250</v>
      </c>
      <c r="C37" s="36"/>
      <c r="D37" s="37" t="s">
        <v>2024</v>
      </c>
      <c r="E37" s="131"/>
    </row>
    <row r="38" spans="1:5" s="132" customFormat="1" ht="45">
      <c r="A38" s="124"/>
      <c r="B38" s="125">
        <v>3260</v>
      </c>
      <c r="C38" s="126"/>
      <c r="D38" s="37" t="s">
        <v>2025</v>
      </c>
      <c r="E38" s="131"/>
    </row>
    <row r="39" spans="1:5" s="132" customFormat="1" ht="45">
      <c r="A39" s="37"/>
      <c r="B39" s="79">
        <v>3280</v>
      </c>
      <c r="C39" s="126"/>
      <c r="D39" s="127" t="s">
        <v>2091</v>
      </c>
      <c r="E39" s="156"/>
    </row>
    <row r="40" spans="1:5" s="132" customFormat="1" ht="31" thickBot="1">
      <c r="A40" s="48"/>
      <c r="B40" s="80">
        <v>3300</v>
      </c>
      <c r="C40" s="39"/>
      <c r="D40" s="40" t="s">
        <v>1743</v>
      </c>
      <c r="E40" s="133"/>
    </row>
    <row r="41" spans="1:5" ht="30">
      <c r="A41" s="53" t="s">
        <v>764</v>
      </c>
      <c r="B41" s="81">
        <v>4120</v>
      </c>
      <c r="C41" s="42"/>
      <c r="D41" s="43" t="s">
        <v>765</v>
      </c>
      <c r="E41" s="14"/>
    </row>
    <row r="42" spans="1:5" ht="30">
      <c r="A42" s="46"/>
      <c r="B42" s="79">
        <v>4122</v>
      </c>
      <c r="C42" s="36"/>
      <c r="D42" s="37" t="s">
        <v>766</v>
      </c>
      <c r="E42" s="15"/>
    </row>
    <row r="43" spans="1:5" ht="30">
      <c r="A43" s="46"/>
      <c r="B43" s="79">
        <v>5000</v>
      </c>
      <c r="C43" s="36"/>
      <c r="D43" s="37" t="s">
        <v>767</v>
      </c>
      <c r="E43" s="15"/>
    </row>
    <row r="44" spans="1:5" ht="30">
      <c r="A44" s="46"/>
      <c r="B44" s="79">
        <v>5010</v>
      </c>
      <c r="C44" s="36"/>
      <c r="D44" s="37" t="s">
        <v>768</v>
      </c>
      <c r="E44" s="15"/>
    </row>
    <row r="45" spans="1:5" ht="30">
      <c r="A45" s="46"/>
      <c r="B45" s="79">
        <v>5011</v>
      </c>
      <c r="C45" s="36"/>
      <c r="D45" s="37" t="s">
        <v>769</v>
      </c>
      <c r="E45" s="15"/>
    </row>
    <row r="46" spans="1:5" ht="30">
      <c r="A46" s="46"/>
      <c r="B46" s="79">
        <v>5030</v>
      </c>
      <c r="C46" s="36"/>
      <c r="D46" s="37" t="s">
        <v>770</v>
      </c>
      <c r="E46" s="15"/>
    </row>
    <row r="47" spans="1:5">
      <c r="A47" s="46"/>
      <c r="B47" s="79">
        <v>5031</v>
      </c>
      <c r="C47" s="36"/>
      <c r="D47" s="37" t="s">
        <v>771</v>
      </c>
      <c r="E47" s="15"/>
    </row>
    <row r="48" spans="1:5">
      <c r="A48" s="46"/>
      <c r="B48" s="79">
        <v>5032</v>
      </c>
      <c r="C48" s="36"/>
      <c r="D48" s="37" t="s">
        <v>772</v>
      </c>
      <c r="E48" s="15"/>
    </row>
    <row r="49" spans="1:5">
      <c r="A49" s="46"/>
      <c r="B49" s="79">
        <v>5040</v>
      </c>
      <c r="C49" s="36"/>
      <c r="D49" s="37" t="s">
        <v>773</v>
      </c>
      <c r="E49" s="15"/>
    </row>
    <row r="50" spans="1:5">
      <c r="A50" s="46"/>
      <c r="B50" s="79">
        <v>5060</v>
      </c>
      <c r="C50" s="36"/>
      <c r="D50" s="37" t="s">
        <v>774</v>
      </c>
      <c r="E50" s="15"/>
    </row>
    <row r="51" spans="1:5">
      <c r="A51" s="46"/>
      <c r="B51" s="79">
        <v>5070</v>
      </c>
      <c r="C51" s="36"/>
      <c r="D51" s="37" t="s">
        <v>775</v>
      </c>
      <c r="E51" s="15"/>
    </row>
    <row r="52" spans="1:5">
      <c r="A52" s="46"/>
      <c r="B52" s="79">
        <v>5100</v>
      </c>
      <c r="C52" s="36"/>
      <c r="D52" s="37" t="s">
        <v>776</v>
      </c>
      <c r="E52" s="15"/>
    </row>
    <row r="53" spans="1:5">
      <c r="A53" s="46"/>
      <c r="B53" s="79">
        <v>5200</v>
      </c>
      <c r="C53" s="36"/>
      <c r="D53" s="37" t="s">
        <v>777</v>
      </c>
      <c r="E53" s="15"/>
    </row>
    <row r="54" spans="1:5">
      <c r="A54" s="46"/>
      <c r="B54" s="79">
        <v>5210</v>
      </c>
      <c r="C54" s="36"/>
      <c r="D54" s="37" t="s">
        <v>778</v>
      </c>
      <c r="E54" s="15"/>
    </row>
    <row r="55" spans="1:5">
      <c r="A55" s="46"/>
      <c r="B55" s="79">
        <v>5220</v>
      </c>
      <c r="C55" s="36"/>
      <c r="D55" s="37" t="s">
        <v>779</v>
      </c>
      <c r="E55" s="15"/>
    </row>
    <row r="56" spans="1:5">
      <c r="A56" s="46"/>
      <c r="B56" s="79">
        <v>5230</v>
      </c>
      <c r="C56" s="36"/>
      <c r="D56" s="37" t="s">
        <v>780</v>
      </c>
      <c r="E56" s="15"/>
    </row>
    <row r="57" spans="1:5">
      <c r="A57" s="46"/>
      <c r="B57" s="79">
        <v>5240</v>
      </c>
      <c r="C57" s="36"/>
      <c r="D57" s="37" t="s">
        <v>781</v>
      </c>
      <c r="E57" s="15"/>
    </row>
    <row r="58" spans="1:5">
      <c r="A58" s="46"/>
      <c r="B58" s="79">
        <v>5250</v>
      </c>
      <c r="C58" s="36"/>
      <c r="D58" s="37" t="s">
        <v>782</v>
      </c>
      <c r="E58" s="15"/>
    </row>
    <row r="59" spans="1:5">
      <c r="A59" s="46"/>
      <c r="B59" s="79">
        <v>5300</v>
      </c>
      <c r="C59" s="36"/>
      <c r="D59" s="37" t="s">
        <v>783</v>
      </c>
      <c r="E59" s="15"/>
    </row>
    <row r="60" spans="1:5" ht="30">
      <c r="A60" s="47"/>
      <c r="B60" s="79">
        <v>5301</v>
      </c>
      <c r="C60" s="36"/>
      <c r="D60" s="37" t="s">
        <v>784</v>
      </c>
      <c r="E60" s="15"/>
    </row>
    <row r="61" spans="1:5" ht="30">
      <c r="A61" s="47"/>
      <c r="B61" s="79">
        <v>5320</v>
      </c>
      <c r="C61" s="36"/>
      <c r="D61" s="37" t="s">
        <v>785</v>
      </c>
      <c r="E61" s="15"/>
    </row>
    <row r="62" spans="1:5" ht="45">
      <c r="A62" s="47"/>
      <c r="B62" s="79">
        <v>5321</v>
      </c>
      <c r="C62" s="36"/>
      <c r="D62" s="37" t="s">
        <v>786</v>
      </c>
      <c r="E62" s="15"/>
    </row>
    <row r="63" spans="1:5">
      <c r="A63" s="124"/>
      <c r="B63" s="125">
        <v>5322</v>
      </c>
      <c r="C63" s="126"/>
      <c r="D63" s="127" t="s">
        <v>787</v>
      </c>
      <c r="E63" s="123"/>
    </row>
    <row r="64" spans="1:5" ht="16" thickBot="1">
      <c r="A64" s="52"/>
      <c r="B64" s="80">
        <v>5400</v>
      </c>
      <c r="C64" s="39"/>
      <c r="D64" s="40" t="s">
        <v>1515</v>
      </c>
      <c r="E64" s="16"/>
    </row>
    <row r="65" spans="1:5" ht="30">
      <c r="A65" s="45" t="s">
        <v>788</v>
      </c>
      <c r="B65" s="78">
        <v>7001</v>
      </c>
      <c r="C65" s="33"/>
      <c r="D65" s="34" t="s">
        <v>789</v>
      </c>
      <c r="E65" s="130"/>
    </row>
    <row r="66" spans="1:5" ht="16" thickBot="1">
      <c r="A66" s="48"/>
      <c r="B66" s="80">
        <v>7002</v>
      </c>
      <c r="C66" s="39"/>
      <c r="D66" s="40" t="s">
        <v>1791</v>
      </c>
      <c r="E66" s="16"/>
    </row>
    <row r="67" spans="1:5" ht="31" thickBot="1">
      <c r="A67" s="49" t="s">
        <v>1446</v>
      </c>
      <c r="B67" s="83">
        <v>7010</v>
      </c>
      <c r="C67" s="50"/>
      <c r="D67" s="51" t="s">
        <v>1447</v>
      </c>
      <c r="E67" s="77"/>
    </row>
    <row r="68" spans="1:5" ht="30">
      <c r="A68" s="46" t="s">
        <v>1805</v>
      </c>
      <c r="B68" s="79">
        <v>6000</v>
      </c>
      <c r="C68" s="36"/>
      <c r="D68" s="37" t="s">
        <v>1792</v>
      </c>
      <c r="E68" s="15"/>
    </row>
    <row r="69" spans="1:5">
      <c r="A69" s="46"/>
      <c r="B69" s="79">
        <v>6001</v>
      </c>
      <c r="C69" s="36"/>
      <c r="D69" s="37" t="s">
        <v>1795</v>
      </c>
      <c r="E69" s="15"/>
    </row>
    <row r="70" spans="1:5">
      <c r="A70" s="46"/>
      <c r="B70" s="79">
        <v>6002</v>
      </c>
      <c r="C70" s="36"/>
      <c r="D70" s="37" t="s">
        <v>1794</v>
      </c>
      <c r="E70" s="15"/>
    </row>
    <row r="71" spans="1:5">
      <c r="A71" s="46"/>
      <c r="B71" s="79">
        <v>6005</v>
      </c>
      <c r="C71" s="36"/>
      <c r="D71" s="37" t="s">
        <v>1796</v>
      </c>
      <c r="E71" s="15"/>
    </row>
    <row r="72" spans="1:5">
      <c r="A72" s="46"/>
      <c r="B72" s="79">
        <v>6006</v>
      </c>
      <c r="C72" s="36"/>
      <c r="D72" s="37" t="s">
        <v>1797</v>
      </c>
      <c r="E72" s="15"/>
    </row>
    <row r="73" spans="1:5" ht="30">
      <c r="A73" s="46"/>
      <c r="B73" s="79">
        <v>6007</v>
      </c>
      <c r="C73" s="36"/>
      <c r="D73" s="37" t="s">
        <v>1798</v>
      </c>
      <c r="E73" s="15"/>
    </row>
    <row r="74" spans="1:5" ht="30">
      <c r="A74" s="46"/>
      <c r="B74" s="79">
        <v>6008</v>
      </c>
      <c r="C74" s="36"/>
      <c r="D74" s="37" t="s">
        <v>1799</v>
      </c>
      <c r="E74" s="15"/>
    </row>
    <row r="75" spans="1:5" ht="30">
      <c r="A75" s="46"/>
      <c r="B75" s="79">
        <v>6009</v>
      </c>
      <c r="C75" s="36"/>
      <c r="D75" s="37" t="s">
        <v>1800</v>
      </c>
      <c r="E75" s="15"/>
    </row>
    <row r="76" spans="1:5">
      <c r="A76" s="46"/>
      <c r="B76" s="79">
        <v>6010</v>
      </c>
      <c r="C76" s="36"/>
      <c r="D76" s="37" t="s">
        <v>1801</v>
      </c>
      <c r="E76" s="15"/>
    </row>
    <row r="77" spans="1:5">
      <c r="A77" s="46"/>
      <c r="B77" s="79">
        <v>6011</v>
      </c>
      <c r="C77" s="36"/>
      <c r="D77" s="37" t="s">
        <v>1802</v>
      </c>
      <c r="E77" s="15"/>
    </row>
    <row r="78" spans="1:5" ht="16" thickBot="1">
      <c r="A78" s="48"/>
      <c r="B78" s="80">
        <v>6012</v>
      </c>
      <c r="C78" s="39"/>
      <c r="D78" s="40" t="s">
        <v>1793</v>
      </c>
      <c r="E78" s="16"/>
    </row>
    <row r="79" spans="1:5" ht="60">
      <c r="A79" s="53" t="s">
        <v>1811</v>
      </c>
      <c r="B79" s="81">
        <v>8000</v>
      </c>
      <c r="C79" s="42"/>
      <c r="D79" s="43" t="s">
        <v>1462</v>
      </c>
      <c r="E79" s="14"/>
    </row>
    <row r="80" spans="1:5" ht="60">
      <c r="A80" s="46"/>
      <c r="B80" s="79">
        <v>8001</v>
      </c>
      <c r="C80" s="36"/>
      <c r="D80" s="37" t="s">
        <v>1468</v>
      </c>
      <c r="E80" s="15"/>
    </row>
    <row r="81" spans="1:5" ht="45">
      <c r="A81" s="46"/>
      <c r="B81" s="79">
        <v>8002</v>
      </c>
      <c r="C81" s="36"/>
      <c r="D81" s="37" t="s">
        <v>1469</v>
      </c>
      <c r="E81" s="15"/>
    </row>
    <row r="82" spans="1:5" ht="30">
      <c r="A82" s="46"/>
      <c r="B82" s="79">
        <v>8003</v>
      </c>
      <c r="C82" s="36"/>
      <c r="D82" s="37" t="s">
        <v>1463</v>
      </c>
      <c r="E82" s="15"/>
    </row>
    <row r="83" spans="1:5" ht="60">
      <c r="A83" s="46"/>
      <c r="B83" s="79">
        <v>8004</v>
      </c>
      <c r="C83" s="36"/>
      <c r="D83" s="37" t="s">
        <v>1470</v>
      </c>
      <c r="E83" s="15"/>
    </row>
    <row r="84" spans="1:5" ht="60">
      <c r="A84" s="46"/>
      <c r="B84" s="79">
        <v>8005</v>
      </c>
      <c r="C84" s="36"/>
      <c r="D84" s="37" t="s">
        <v>1471</v>
      </c>
      <c r="E84" s="15"/>
    </row>
    <row r="85" spans="1:5" ht="60">
      <c r="A85" s="46"/>
      <c r="B85" s="79">
        <v>8006</v>
      </c>
      <c r="C85" s="36"/>
      <c r="D85" s="37" t="s">
        <v>1464</v>
      </c>
      <c r="E85" s="15"/>
    </row>
    <row r="86" spans="1:5" ht="60">
      <c r="A86" s="46"/>
      <c r="B86" s="79">
        <v>8007</v>
      </c>
      <c r="C86" s="36"/>
      <c r="D86" s="37" t="s">
        <v>1465</v>
      </c>
      <c r="E86" s="15"/>
    </row>
    <row r="87" spans="1:5" ht="75">
      <c r="A87" s="46"/>
      <c r="B87" s="79">
        <v>8008</v>
      </c>
      <c r="C87" s="36"/>
      <c r="D87" s="37" t="s">
        <v>1466</v>
      </c>
      <c r="E87" s="15"/>
    </row>
    <row r="88" spans="1:5" ht="30">
      <c r="A88" s="46"/>
      <c r="B88" s="79">
        <v>8500</v>
      </c>
      <c r="C88" s="36"/>
      <c r="D88" s="37" t="s">
        <v>1361</v>
      </c>
      <c r="E88" s="15"/>
    </row>
    <row r="89" spans="1:5" ht="30">
      <c r="A89" s="46"/>
      <c r="B89" s="79">
        <v>8501</v>
      </c>
      <c r="C89" s="36"/>
      <c r="D89" s="37" t="s">
        <v>1467</v>
      </c>
      <c r="E89" s="15"/>
    </row>
    <row r="90" spans="1:5" ht="16" thickBot="1">
      <c r="A90" s="48"/>
      <c r="B90" s="80">
        <v>9101</v>
      </c>
      <c r="C90" s="39"/>
      <c r="D90" s="40" t="s">
        <v>830</v>
      </c>
      <c r="E90" s="16"/>
    </row>
    <row r="91" spans="1:5" ht="30">
      <c r="A91" s="53" t="s">
        <v>1894</v>
      </c>
      <c r="B91" s="81">
        <v>15000</v>
      </c>
      <c r="C91" s="42"/>
      <c r="D91" s="43" t="s">
        <v>1895</v>
      </c>
      <c r="E91" s="14"/>
    </row>
    <row r="92" spans="1:5" ht="30">
      <c r="A92" s="46"/>
      <c r="B92" s="79">
        <v>15100</v>
      </c>
      <c r="C92" s="36"/>
      <c r="D92" s="43" t="s">
        <v>1896</v>
      </c>
      <c r="E92" s="15"/>
    </row>
    <row r="93" spans="1:5">
      <c r="A93" s="46"/>
      <c r="B93" s="79">
        <v>15200</v>
      </c>
      <c r="C93" s="36"/>
      <c r="D93" s="37" t="s">
        <v>1897</v>
      </c>
      <c r="E93" s="15"/>
    </row>
    <row r="94" spans="1:5">
      <c r="A94" s="124"/>
      <c r="B94" s="125">
        <v>15300</v>
      </c>
      <c r="C94" s="126"/>
      <c r="D94" s="127" t="s">
        <v>1898</v>
      </c>
      <c r="E94" s="123"/>
    </row>
    <row r="95" spans="1:5" ht="31" thickBot="1">
      <c r="A95" s="48"/>
      <c r="B95" s="80">
        <v>15400</v>
      </c>
      <c r="C95" s="39"/>
      <c r="D95" s="135" t="s">
        <v>2125</v>
      </c>
      <c r="E95" s="16"/>
    </row>
    <row r="96" spans="1:5">
      <c r="A96" s="53" t="s">
        <v>1628</v>
      </c>
      <c r="B96" s="79">
        <v>16000</v>
      </c>
      <c r="C96" s="126"/>
      <c r="D96" s="173" t="s">
        <v>2092</v>
      </c>
      <c r="E96" s="15"/>
    </row>
    <row r="97" spans="1:5">
      <c r="A97" s="124"/>
      <c r="B97" s="125">
        <v>16010</v>
      </c>
      <c r="C97" s="126"/>
      <c r="D97" s="127" t="s">
        <v>2093</v>
      </c>
      <c r="E97" s="123"/>
    </row>
    <row r="98" spans="1:5" ht="45">
      <c r="A98" s="46"/>
      <c r="B98" s="79">
        <v>16020</v>
      </c>
      <c r="C98" s="36"/>
      <c r="D98" s="174" t="s">
        <v>2091</v>
      </c>
      <c r="E98" s="123"/>
    </row>
    <row r="99" spans="1:5" ht="31" thickBot="1">
      <c r="A99" s="53"/>
      <c r="B99" s="81">
        <v>16030</v>
      </c>
      <c r="C99" s="42"/>
      <c r="D99" s="43" t="s">
        <v>2094</v>
      </c>
      <c r="E99" s="16"/>
    </row>
  </sheetData>
  <sheetProtection sheet="1" objects="1" scenarios="1" sort="0" autoFilter="0"/>
  <pageMargins left="0.75" right="0.75" top="1" bottom="1" header="0.5" footer="0.5"/>
  <pageSetup orientation="portrait" horizontalDpi="4294967292" verticalDpi="4294967292"/>
  <headerFooter>
    <oddHeader>&amp;C&amp;"arial,Bold"&amp;10&amp;K3E8430Nokia Internal Use Only</oddHeader>
    <oddFooter>&amp;C&amp;"arial,Bold"&amp;10&amp;K3E8430Nokia Internal Use Only</oddFooter>
    <evenHeader>&amp;C&amp;"arial,Bold"&amp;10&amp;K3E8430Nokia Internal Use Only</evenHeader>
    <evenFooter>&amp;C&amp;"arial,Bold"&amp;10&amp;K3E8430Nokia Internal Use Only</evenFooter>
    <firstHeader>&amp;C&amp;"arial,Bold"&amp;10&amp;K3E8430Nokia Internal Use Only</firstHeader>
    <firstFooter>&amp;C&amp;"arial,Bold"&amp;10&amp;K3E8430Nokia Internal Use Only</firstFooter>
  </headerFooter>
  <legacyDrawing r:id="rId1"/>
  <tableParts count="1">
    <tablePart r:id="rId2"/>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Ref Docs &amp; Notes</vt:lpstr>
      <vt:lpstr>Instructions</vt:lpstr>
      <vt:lpstr>Identification</vt:lpstr>
      <vt:lpstr>Client PICS</vt:lpstr>
      <vt:lpstr>Client Tests</vt:lpstr>
      <vt:lpstr>Client PIXIT</vt:lpstr>
      <vt:lpstr>Server PICS</vt:lpstr>
      <vt:lpstr>Server Tests</vt:lpstr>
      <vt:lpstr>Server PIXIT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Ewing Alan (Nokia-CIC/Dallas)</dc:creator>
  <cp:lastModifiedBy>Ed Pichon</cp:lastModifiedBy>
  <cp:lastPrinted>2011-11-17T23:49:39Z</cp:lastPrinted>
  <dcterms:created xsi:type="dcterms:W3CDTF">2011-08-10T19:03:56Z</dcterms:created>
  <dcterms:modified xsi:type="dcterms:W3CDTF">2014-06-11T17:29:40Z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1016fd0c-d5a5-48b3-8888-dbc3c78b6f35</vt:lpwstr>
  </property>
  <property fmtid="{D5CDD505-2E9C-101B-9397-08002B2CF9AE}" pid="3" name="NokiaConfidentiality">
    <vt:lpwstr>Company Confidential</vt:lpwstr>
  </property>
</Properties>
</file>